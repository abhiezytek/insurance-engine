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sanchika.sudlife.in\Actuarial\Individual Pricing\Product Pricing_Current\01_Individual Product\N100_SUD Life Century Income\V03\SSV Factor - FY 25-26\"/>
    </mc:Choice>
  </mc:AlternateContent>
  <xr:revisionPtr revIDLastSave="0" documentId="13_ncr:1_{9730561C-0D9F-4891-8C11-50358950EF49}" xr6:coauthVersionLast="47" xr6:coauthVersionMax="47" xr10:uidLastSave="{00000000-0000-0000-0000-000000000000}"/>
  <bookViews>
    <workbookView xWindow="-110" yWindow="-110" windowWidth="19420" windowHeight="10420" xr2:uid="{00000000-000D-0000-FFFF-FFFF00000000}"/>
  </bookViews>
  <sheets>
    <sheet name="Input" sheetId="2" r:id="rId1"/>
    <sheet name="Output" sheetId="1" r:id="rId2"/>
    <sheet name="SF" sheetId="7" r:id="rId3"/>
    <sheet name="MB" sheetId="8" r:id="rId4"/>
  </sheets>
  <definedNames>
    <definedName name="GI">Input!$B$17</definedName>
    <definedName name="iAGE">Input!$B$3</definedName>
    <definedName name="iBP">Input!$B$8</definedName>
    <definedName name="In_GI">Input!$B$20</definedName>
    <definedName name="In_St_Yr">Input!$B$21</definedName>
    <definedName name="Income_End">Input!$B$22</definedName>
    <definedName name="Income_Int">Input!$B$19</definedName>
    <definedName name="Income_ST">Input!$B$18</definedName>
    <definedName name="IP">Input!$B$23</definedName>
    <definedName name="iPRM">Input!$B$9</definedName>
    <definedName name="iPRM_PP">Input!$B$7</definedName>
    <definedName name="MB">Input!$B$15</definedName>
    <definedName name="SA">Input!$B$16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4" i="7" l="1"/>
  <c r="AG4" i="7"/>
  <c r="AF4" i="7"/>
  <c r="AE4" i="7"/>
  <c r="AD4" i="7"/>
  <c r="AA4" i="7"/>
  <c r="Z4" i="7"/>
  <c r="Y4" i="7"/>
  <c r="X4" i="7"/>
  <c r="W4" i="7"/>
  <c r="T4" i="7"/>
  <c r="S4" i="7"/>
  <c r="R4" i="7"/>
  <c r="Q4" i="7"/>
  <c r="P4" i="7"/>
  <c r="M4" i="7"/>
  <c r="L4" i="7"/>
  <c r="K4" i="7"/>
  <c r="J4" i="7"/>
  <c r="I4" i="7"/>
  <c r="L18" i="2" a="1"/>
  <c r="L18" i="2" s="1"/>
  <c r="L16" i="2" a="1"/>
  <c r="L16" i="2" s="1"/>
  <c r="J1" i="2"/>
  <c r="I1" i="2"/>
  <c r="D9" i="2"/>
  <c r="E29" i="1"/>
  <c r="S5" i="2"/>
  <c r="S6" i="2" s="1"/>
  <c r="S7" i="2" s="1"/>
  <c r="S8" i="2" s="1"/>
  <c r="S9" i="2" s="1"/>
  <c r="S10" i="2" s="1"/>
  <c r="S11" i="2" s="1"/>
  <c r="S12" i="2" s="1"/>
  <c r="S13" i="2" s="1"/>
  <c r="S14" i="2" s="1"/>
  <c r="S15" i="2" s="1"/>
  <c r="S16" i="2" s="1"/>
  <c r="S17" i="2" s="1"/>
  <c r="S18" i="2" s="1"/>
  <c r="S19" i="2" s="1"/>
  <c r="S20" i="2" s="1"/>
  <c r="S21" i="2" s="1"/>
  <c r="S22" i="2" s="1"/>
  <c r="S23" i="2" s="1"/>
  <c r="S24" i="2" s="1"/>
  <c r="S25" i="2" s="1"/>
  <c r="S26" i="2" s="1"/>
  <c r="S27" i="2" s="1"/>
  <c r="S28" i="2" s="1"/>
  <c r="D2" i="2"/>
  <c r="D7" i="2"/>
  <c r="B19" i="2" l="1"/>
  <c r="L17" i="2" a="1"/>
  <c r="L17" i="2" s="1"/>
  <c r="I24" i="2"/>
  <c r="B22" i="2"/>
  <c r="D15" i="2"/>
  <c r="B20" i="2"/>
  <c r="B18" i="2"/>
  <c r="B21" i="2" s="1"/>
  <c r="B17" i="2"/>
  <c r="A30" i="1"/>
  <c r="B29" i="1"/>
  <c r="B16" i="1"/>
  <c r="C11" i="1"/>
  <c r="C9" i="1"/>
  <c r="C8" i="1"/>
  <c r="C5" i="1"/>
  <c r="C4" i="1"/>
  <c r="C7" i="1"/>
  <c r="C6" i="1"/>
  <c r="I15" i="2"/>
  <c r="J15" i="2"/>
  <c r="L15" i="2" s="1"/>
  <c r="K15" i="2"/>
  <c r="J8" i="2"/>
  <c r="I8" i="2"/>
  <c r="E30" i="1" l="1"/>
  <c r="B11" i="2"/>
  <c r="B16" i="2" s="1"/>
  <c r="G16" i="1" s="1"/>
  <c r="B15" i="2"/>
  <c r="B30" i="1"/>
  <c r="A31" i="1"/>
  <c r="B23" i="2" l="1"/>
  <c r="F22" i="1" s="1"/>
  <c r="F24" i="1" s="1"/>
  <c r="H24" i="1" s="1"/>
  <c r="E31" i="1"/>
  <c r="G17" i="1"/>
  <c r="D29" i="1"/>
  <c r="C31" i="1"/>
  <c r="C32" i="1"/>
  <c r="C29" i="1"/>
  <c r="C30" i="1"/>
  <c r="A32" i="1"/>
  <c r="B31" i="1"/>
  <c r="F23" i="1" l="1"/>
  <c r="H23" i="1" s="1"/>
  <c r="C10" i="1"/>
  <c r="H22" i="1"/>
  <c r="E32" i="1"/>
  <c r="G29" i="1"/>
  <c r="D30" i="1"/>
  <c r="D31" i="1"/>
  <c r="D33" i="1"/>
  <c r="D32" i="1"/>
  <c r="B32" i="1"/>
  <c r="A33" i="1"/>
  <c r="E33" i="1" l="1"/>
  <c r="C33" i="1"/>
  <c r="G31" i="1"/>
  <c r="G32" i="1"/>
  <c r="G30" i="1"/>
  <c r="B33" i="1"/>
  <c r="A34" i="1"/>
  <c r="G33" i="1" l="1"/>
  <c r="E34" i="1"/>
  <c r="C34" i="1"/>
  <c r="D34" i="1"/>
  <c r="B34" i="1"/>
  <c r="A35" i="1"/>
  <c r="G34" i="1" l="1"/>
  <c r="E35" i="1"/>
  <c r="C35" i="1"/>
  <c r="D35" i="1"/>
  <c r="B35" i="1"/>
  <c r="A36" i="1"/>
  <c r="G35" i="1" l="1"/>
  <c r="E36" i="1"/>
  <c r="C36" i="1"/>
  <c r="D36" i="1"/>
  <c r="B36" i="1"/>
  <c r="A37" i="1"/>
  <c r="G36" i="1" l="1"/>
  <c r="E37" i="1"/>
  <c r="C37" i="1"/>
  <c r="D37" i="1"/>
  <c r="B37" i="1"/>
  <c r="A38" i="1"/>
  <c r="G37" i="1" l="1"/>
  <c r="E38" i="1"/>
  <c r="C38" i="1"/>
  <c r="D38" i="1"/>
  <c r="B38" i="1"/>
  <c r="A39" i="1"/>
  <c r="G38" i="1" l="1"/>
  <c r="E39" i="1"/>
  <c r="C39" i="1"/>
  <c r="D39" i="1"/>
  <c r="B39" i="1"/>
  <c r="A40" i="1"/>
  <c r="G39" i="1" l="1"/>
  <c r="E40" i="1"/>
  <c r="C40" i="1"/>
  <c r="D40" i="1"/>
  <c r="B40" i="1"/>
  <c r="H35" i="1" s="1"/>
  <c r="A41" i="1"/>
  <c r="E41" i="1" l="1"/>
  <c r="C41" i="1"/>
  <c r="D41" i="1"/>
  <c r="G40" i="1"/>
  <c r="H39" i="1"/>
  <c r="H30" i="1"/>
  <c r="H34" i="1"/>
  <c r="H40" i="1"/>
  <c r="H29" i="1"/>
  <c r="H31" i="1"/>
  <c r="H32" i="1"/>
  <c r="H37" i="1"/>
  <c r="H33" i="1"/>
  <c r="H38" i="1"/>
  <c r="H36" i="1"/>
  <c r="I35" i="1"/>
  <c r="F35" i="1" s="1"/>
  <c r="A42" i="1"/>
  <c r="B41" i="1"/>
  <c r="H41" i="1" l="1"/>
  <c r="G41" i="1"/>
  <c r="E42" i="1"/>
  <c r="C42" i="1"/>
  <c r="D42" i="1"/>
  <c r="I36" i="1"/>
  <c r="F36" i="1" s="1"/>
  <c r="I37" i="1"/>
  <c r="F37" i="1" s="1"/>
  <c r="I34" i="1"/>
  <c r="F34" i="1" s="1"/>
  <c r="I33" i="1"/>
  <c r="F33" i="1" s="1"/>
  <c r="I38" i="1"/>
  <c r="F38" i="1" s="1"/>
  <c r="I32" i="1"/>
  <c r="F32" i="1" s="1"/>
  <c r="I31" i="1"/>
  <c r="F31" i="1" s="1"/>
  <c r="I30" i="1"/>
  <c r="F30" i="1" s="1"/>
  <c r="I39" i="1"/>
  <c r="F39" i="1" s="1"/>
  <c r="I40" i="1"/>
  <c r="F40" i="1" s="1"/>
  <c r="I29" i="1"/>
  <c r="F29" i="1" s="1"/>
  <c r="A43" i="1"/>
  <c r="B42" i="1"/>
  <c r="H42" i="1" l="1"/>
  <c r="G42" i="1"/>
  <c r="E43" i="1"/>
  <c r="C43" i="1"/>
  <c r="D43" i="1"/>
  <c r="I41" i="1"/>
  <c r="F41" i="1" s="1"/>
  <c r="A44" i="1"/>
  <c r="B43" i="1"/>
  <c r="G43" i="1" l="1"/>
  <c r="E44" i="1"/>
  <c r="B44" i="1"/>
  <c r="D44" i="1"/>
  <c r="C44" i="1"/>
  <c r="H43" i="1"/>
  <c r="I42" i="1"/>
  <c r="F42" i="1" s="1"/>
  <c r="A45" i="1"/>
  <c r="G44" i="1" l="1"/>
  <c r="H44" i="1"/>
  <c r="D45" i="1"/>
  <c r="E45" i="1"/>
  <c r="B45" i="1"/>
  <c r="C45" i="1"/>
  <c r="I43" i="1"/>
  <c r="F43" i="1" s="1"/>
  <c r="A46" i="1"/>
  <c r="I44" i="1" l="1"/>
  <c r="F44" i="1" s="1"/>
  <c r="G45" i="1"/>
  <c r="H45" i="1"/>
  <c r="D46" i="1"/>
  <c r="B46" i="1"/>
  <c r="E46" i="1"/>
  <c r="C46" i="1"/>
  <c r="A47" i="1"/>
  <c r="G46" i="1" l="1"/>
  <c r="I45" i="1"/>
  <c r="F45" i="1" s="1"/>
  <c r="H46" i="1"/>
  <c r="D47" i="1"/>
  <c r="E47" i="1"/>
  <c r="B47" i="1"/>
  <c r="C47" i="1"/>
  <c r="A48" i="1"/>
  <c r="G47" i="1" l="1"/>
  <c r="I46" i="1"/>
  <c r="F46" i="1" s="1"/>
  <c r="H47" i="1"/>
  <c r="D48" i="1"/>
  <c r="B48" i="1"/>
  <c r="C48" i="1"/>
  <c r="E48" i="1"/>
  <c r="A49" i="1"/>
  <c r="G48" i="1" l="1"/>
  <c r="H48" i="1"/>
  <c r="I47" i="1"/>
  <c r="F47" i="1" s="1"/>
  <c r="A50" i="1"/>
  <c r="D49" i="1"/>
  <c r="B49" i="1"/>
  <c r="E49" i="1"/>
  <c r="C49" i="1"/>
  <c r="G49" i="1" l="1"/>
  <c r="I48" i="1"/>
  <c r="F48" i="1" s="1"/>
  <c r="H49" i="1"/>
  <c r="A51" i="1"/>
  <c r="D50" i="1"/>
  <c r="B50" i="1"/>
  <c r="E50" i="1"/>
  <c r="C50" i="1"/>
  <c r="G50" i="1" l="1"/>
  <c r="I49" i="1"/>
  <c r="F49" i="1" s="1"/>
  <c r="H50" i="1"/>
  <c r="A52" i="1"/>
  <c r="D51" i="1"/>
  <c r="B51" i="1"/>
  <c r="E51" i="1"/>
  <c r="C51" i="1"/>
  <c r="G51" i="1" l="1"/>
  <c r="I50" i="1"/>
  <c r="F50" i="1" s="1"/>
  <c r="H51" i="1"/>
  <c r="A53" i="1"/>
  <c r="E52" i="1"/>
  <c r="B52" i="1"/>
  <c r="D52" i="1"/>
  <c r="C52" i="1"/>
  <c r="G52" i="1" l="1"/>
  <c r="I51" i="1"/>
  <c r="F51" i="1" s="1"/>
  <c r="H52" i="1"/>
  <c r="B53" i="1"/>
  <c r="D53" i="1"/>
  <c r="E53" i="1"/>
  <c r="C53" i="1"/>
  <c r="I52" i="1" l="1"/>
  <c r="F52" i="1" s="1"/>
  <c r="G53" i="1"/>
  <c r="H53" i="1"/>
  <c r="I53" i="1" l="1"/>
  <c r="F5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<sst xmlns="http://schemas.openxmlformats.org/spreadsheetml/2006/main" count="158" uniqueCount="130">
  <si>
    <t xml:space="preserve">Benefit Illustration </t>
  </si>
  <si>
    <t>(This shall form a part of the policy document)</t>
  </si>
  <si>
    <t>Name of Prospect/Policyholder:</t>
  </si>
  <si>
    <t>Proposal No. :</t>
  </si>
  <si>
    <t xml:space="preserve">Age: </t>
  </si>
  <si>
    <t>Name of the Product:</t>
  </si>
  <si>
    <t>Name of Life Assured:</t>
  </si>
  <si>
    <t>Tag Line:</t>
  </si>
  <si>
    <t>Individual Non-linked Non-participating Savings Life Insurance Plan</t>
  </si>
  <si>
    <t>Policy Term:</t>
  </si>
  <si>
    <t>Unique Identification  Number:</t>
  </si>
  <si>
    <t>Premium Payment Term:</t>
  </si>
  <si>
    <t>GST Rate and applicable cess,if any :</t>
  </si>
  <si>
    <t>1st Year</t>
  </si>
  <si>
    <t>Amount of Instalment Premium:</t>
  </si>
  <si>
    <t>2nd Year Onwards</t>
  </si>
  <si>
    <t>Mode of Payment of Premium:</t>
  </si>
  <si>
    <t>This Benefit Illustration is intended to show the year-wise premiums payable and benefits under the policy.</t>
  </si>
  <si>
    <t>Policy Details</t>
  </si>
  <si>
    <t>Base Plan</t>
  </si>
  <si>
    <t xml:space="preserve">Sum Assured Rs. </t>
  </si>
  <si>
    <t>Sum Assured on Death(at inception of the policy) Rs.</t>
  </si>
  <si>
    <t>Premium Summary</t>
  </si>
  <si>
    <t>Total Instalment Premium</t>
  </si>
  <si>
    <t>Instalment Premium without GST</t>
  </si>
  <si>
    <t>Instalment Premium with First Year GST</t>
  </si>
  <si>
    <t>Instalment Premium with GST 2nd Year onwards</t>
  </si>
  <si>
    <t>(Amount in Rupees.)</t>
  </si>
  <si>
    <t>Policy Year</t>
  </si>
  <si>
    <t xml:space="preserve">
Annualized Premium</t>
  </si>
  <si>
    <t>Guaranteed</t>
  </si>
  <si>
    <t>Non Guaranteed</t>
  </si>
  <si>
    <t>Maturity</t>
  </si>
  <si>
    <t>Death Benefit</t>
  </si>
  <si>
    <t>Notes:Annualized Premium excludes Underwriting extra premium ,frequency loadings on premiums ,the premiums paid towards the riders ,if any and Goods and Service Tax</t>
  </si>
  <si>
    <t>Terms and Conditions</t>
  </si>
  <si>
    <t xml:space="preserve">1. Surrender Benefit </t>
  </si>
  <si>
    <t>5. Tax Benefits</t>
  </si>
  <si>
    <t>6. Proposal Deposit</t>
  </si>
  <si>
    <t>The proposal deposit receipt given in respect of the consideration amount paid to the company does not bind the company to accept the risk on the life of the life proposed under the proposal for insurance.</t>
  </si>
  <si>
    <t>7. About Star Union Dai-ichi Life Insurance Company Limited</t>
  </si>
  <si>
    <t>8. Goods &amp; Services Tax and applicable cess,if any will be charged on premiums as per prevailing tax laws.This is subject to any change in the tax rate.</t>
  </si>
  <si>
    <t>9. For more details on risk factor, terms and conditions, please read the Sales brochure of the plan carefully before concluding a sale.</t>
  </si>
  <si>
    <t>In case you require any clarification, please consult your insurance advisor or call our office.</t>
  </si>
  <si>
    <t>I…… (Name), have explained the premiums,and benefits under the product fully to the prospect/policyholder.</t>
  </si>
  <si>
    <t>I…………………… (Name), having received the information with respect to the above, have understood the above statement before entering into the contract.</t>
  </si>
  <si>
    <t>Place:</t>
  </si>
  <si>
    <t>Date:</t>
  </si>
  <si>
    <t>Signature of Agent/Intermediary/Official</t>
  </si>
  <si>
    <t>Signature of Prospect/Policyholder</t>
  </si>
  <si>
    <t>ABC</t>
  </si>
  <si>
    <t>Age of Life Assured</t>
  </si>
  <si>
    <t>Name of the Life Assured</t>
  </si>
  <si>
    <t>Age of Policy holder</t>
  </si>
  <si>
    <t>Name of the Policy holder</t>
  </si>
  <si>
    <t>Distribution Channel</t>
  </si>
  <si>
    <t>Premium Paying Term</t>
  </si>
  <si>
    <t>Policy Term</t>
  </si>
  <si>
    <t>Standard Age Proof</t>
  </si>
  <si>
    <t>Staff Policy</t>
  </si>
  <si>
    <t>Option</t>
  </si>
  <si>
    <t>PPT</t>
  </si>
  <si>
    <t>PT</t>
  </si>
  <si>
    <t>Annualised Premium</t>
  </si>
  <si>
    <t>Annual Premium</t>
  </si>
  <si>
    <t>Mode of Premium</t>
  </si>
  <si>
    <t>Modal Factor</t>
  </si>
  <si>
    <t>Yearly</t>
  </si>
  <si>
    <t>Half Yearly</t>
  </si>
  <si>
    <t>Quarterly</t>
  </si>
  <si>
    <t>Monthly</t>
  </si>
  <si>
    <t>Mode of Payment</t>
  </si>
  <si>
    <t>No of Pymts</t>
  </si>
  <si>
    <t>Yes</t>
  </si>
  <si>
    <t>Channel</t>
  </si>
  <si>
    <t>Online</t>
  </si>
  <si>
    <t>Direct Marketing</t>
  </si>
  <si>
    <t>Broker</t>
  </si>
  <si>
    <t>Web Aggregrator</t>
  </si>
  <si>
    <t>Corporate Staff</t>
  </si>
  <si>
    <t>XYZ</t>
  </si>
  <si>
    <t>Sum Assured</t>
  </si>
  <si>
    <t>Installment Premium</t>
  </si>
  <si>
    <t>3. No Rider are available under the plan.</t>
  </si>
  <si>
    <t>4. Policy values are as of year end i.e it is assumed the events occur at end of the year.</t>
  </si>
  <si>
    <t>Gender</t>
  </si>
  <si>
    <t>Male</t>
  </si>
  <si>
    <t>Corporate Agency</t>
  </si>
  <si>
    <t>Agency</t>
  </si>
  <si>
    <t>Sum Assured on Maturity</t>
  </si>
  <si>
    <t>Insurance Marketing Firm</t>
  </si>
  <si>
    <t>No</t>
  </si>
  <si>
    <t>SUD Life Staff</t>
  </si>
  <si>
    <t>Guaranteed Surrender Value
(GSV) (a)</t>
  </si>
  <si>
    <t>Special Surrender Value
(SSV) (b)</t>
  </si>
  <si>
    <t>Surrender Value
[Greater of (a) or (b)]</t>
  </si>
  <si>
    <t>Loyalty Survival benefit</t>
  </si>
  <si>
    <t>Riders</t>
  </si>
  <si>
    <t>GSV</t>
  </si>
  <si>
    <t>SSV - Option 1</t>
  </si>
  <si>
    <t>SSV - Option 2</t>
  </si>
  <si>
    <t>SSV - Option 3</t>
  </si>
  <si>
    <t>SSV Factor1</t>
  </si>
  <si>
    <t>PY</t>
  </si>
  <si>
    <t>Deferred Income 30% - with 10% increase</t>
  </si>
  <si>
    <t>Twin Income</t>
  </si>
  <si>
    <t>Immediate Income</t>
  </si>
  <si>
    <t>NA</t>
  </si>
  <si>
    <t>Deferred Income</t>
  </si>
  <si>
    <t>Survival Benefit</t>
  </si>
  <si>
    <t>GI Rate</t>
  </si>
  <si>
    <t>Income Start</t>
  </si>
  <si>
    <t>Income Interval</t>
  </si>
  <si>
    <t>Increase in GI</t>
  </si>
  <si>
    <t>Increase in GI Stop Years</t>
  </si>
  <si>
    <t>Increase in GI Start Years</t>
  </si>
  <si>
    <t>2. Under Option 1 - Immediate Income - The Increase in Loyalty Survival Benefit will continue only when the policy is inforce  and upto the premium payment term</t>
  </si>
  <si>
    <t>Century Income - Input</t>
  </si>
  <si>
    <t>SUD Life Century Income</t>
  </si>
  <si>
    <t>Star Union Dai-ichi Life insurance is the name of the company and 'SUD Life Century Income' is only the name of the Plan and does in no way indicate the quality of the policy, its future prospects or returns.</t>
  </si>
  <si>
    <t>Premium</t>
  </si>
  <si>
    <t>Staff Benefit</t>
  </si>
  <si>
    <t xml:space="preserve">Online/ Corporate Staff </t>
  </si>
  <si>
    <t>SUD Staff</t>
  </si>
  <si>
    <t>HSAB</t>
  </si>
  <si>
    <t>Type</t>
  </si>
  <si>
    <t>Premiums payable and benefits receivable under this plan are eligible for tax benefits as per the prevailing tax laws.Please consult your tax advisor for details</t>
  </si>
  <si>
    <t>Policy Option (Income Option)</t>
  </si>
  <si>
    <t>Surrender of the policy is allowed after end of the first policy year provided one full years’ premiums have been paid. During the Policy Term, Surrender Value payable will be higher of  Guaranteed Surrender Value or Special Surrender Value.</t>
  </si>
  <si>
    <t>142N100V03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</si>
</sst>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0_);_(* \(#,##0\);_(* &quot;-&quot;??_);_(@_)"/>
    <numFmt numFmtId="166" formatCode="0.0000"/>
    <numFmt numFmtId="167" formatCode="0_);\(0\)"/>
    <numFmt numFmtId="168" formatCode="0.000000"/>
  </numFmts>
  <fonts count="24">
    <font>
      <sz val="11"/>
      <color theme="1"/>
      <name val="Calibri"/>
      <family val="2"/>
      <scheme val="minor"/>
    </font>
    <font>
      <sz val="11"/>
      <color theme="1"/>
      <name val="Calibri"/>
      <family val="2"/>
      <scheme val="minor"/>
    </font>
    <font>
      <sz val="10"/>
      <name val="Arial"/>
      <family val="2"/>
    </font>
    <font>
      <b/>
      <u/>
      <sz val="8"/>
      <name val="Arial"/>
      <family val="2"/>
    </font>
    <font>
      <u/>
      <sz val="8"/>
      <name val="Arial"/>
      <family val="2"/>
    </font>
    <font>
      <sz val="8"/>
      <color theme="1"/>
      <name val="Arial"/>
      <family val="2"/>
    </font>
    <font>
      <sz val="8"/>
      <name val="Arial"/>
      <family val="2"/>
    </font>
    <font>
      <b/>
      <sz val="8"/>
      <name val="Arial"/>
      <family val="2"/>
    </font>
    <font>
      <b/>
      <u/>
      <sz val="8"/>
      <color theme="1"/>
      <name val="Arial"/>
      <family val="2"/>
    </font>
    <font>
      <b/>
      <sz val="10"/>
      <color theme="1"/>
      <name val="Century"/>
      <family val="1"/>
    </font>
    <font>
      <sz val="10"/>
      <color theme="1"/>
      <name val="Century"/>
      <family val="1"/>
    </font>
    <font>
      <sz val="10"/>
      <color rgb="FF000000"/>
      <name val="Century"/>
      <family val="1"/>
    </font>
    <font>
      <b/>
      <sz val="10"/>
      <color rgb="FF000000"/>
      <name val="Century"/>
      <family val="1"/>
    </font>
    <font>
      <b/>
      <sz val="8"/>
      <color theme="1"/>
      <name val="Arial"/>
      <family val="2"/>
    </font>
    <font>
      <sz val="8"/>
      <color theme="1"/>
      <name val="Tahoma"/>
      <family val="2"/>
    </font>
    <font>
      <sz val="10"/>
      <color indexed="8"/>
      <name val="Tahoma"/>
      <family val="2"/>
    </font>
    <font>
      <sz val="10"/>
      <name val="Helv"/>
      <charset val="204"/>
    </font>
    <font>
      <sz val="10"/>
      <color theme="1"/>
      <name val="Calibri"/>
      <family val="2"/>
    </font>
    <font>
      <sz val="9"/>
      <name val="Times New Roman"/>
      <family val="1"/>
    </font>
    <font>
      <sz val="11"/>
      <color indexed="8"/>
      <name val="Calibri"/>
      <family val="2"/>
    </font>
    <font>
      <b/>
      <sz val="11"/>
      <color theme="1"/>
      <name val="Calibri"/>
      <family val="2"/>
      <scheme val="minor"/>
    </font>
    <font>
      <sz val="11"/>
      <color rgb="FF000000"/>
      <name val="Calibri"/>
      <family val="2"/>
    </font>
    <font>
      <sz val="10"/>
      <color rgb="FF000000"/>
      <name val="Arial"/>
      <family val="2"/>
    </font>
    <font>
      <b/>
      <sz val="11"/>
      <color rgb="FF000000"/>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s>
  <borders count="58">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9">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14" fillId="0" borderId="0"/>
    <xf numFmtId="0" fontId="14" fillId="0" borderId="0"/>
    <xf numFmtId="164" fontId="15" fillId="0" borderId="0" applyFont="0" applyFill="0" applyBorder="0" applyAlignment="0" applyProtection="0"/>
    <xf numFmtId="0" fontId="14"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2" fillId="0" borderId="0"/>
    <xf numFmtId="0" fontId="16" fillId="0" borderId="0"/>
    <xf numFmtId="164" fontId="17" fillId="0" borderId="0" applyFont="0" applyFill="0" applyBorder="0" applyAlignment="0" applyProtection="0"/>
    <xf numFmtId="0" fontId="14" fillId="0" borderId="0"/>
    <xf numFmtId="0" fontId="1" fillId="0" borderId="0"/>
    <xf numFmtId="0" fontId="14" fillId="0" borderId="0"/>
    <xf numFmtId="0" fontId="1" fillId="0" borderId="0"/>
    <xf numFmtId="0" fontId="17" fillId="0" borderId="0"/>
    <xf numFmtId="0" fontId="18" fillId="0" borderId="0">
      <alignment vertical="top"/>
    </xf>
    <xf numFmtId="0" fontId="19" fillId="0" borderId="0"/>
    <xf numFmtId="0" fontId="19" fillId="0" borderId="0"/>
    <xf numFmtId="9" fontId="17"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199">
    <xf numFmtId="0" fontId="0" fillId="0" borderId="0" xfId="0"/>
    <xf numFmtId="0" fontId="10" fillId="0" borderId="0" xfId="0" applyFont="1"/>
    <xf numFmtId="0" fontId="10" fillId="2" borderId="12" xfId="0" applyFont="1" applyFill="1" applyBorder="1"/>
    <xf numFmtId="0" fontId="10" fillId="3" borderId="16" xfId="0" applyFont="1" applyFill="1" applyBorder="1"/>
    <xf numFmtId="0" fontId="10" fillId="2" borderId="12" xfId="0" applyFont="1" applyFill="1" applyBorder="1" applyAlignment="1">
      <alignment horizontal="left" vertical="top"/>
    </xf>
    <xf numFmtId="0" fontId="10" fillId="0" borderId="16" xfId="0" applyFont="1" applyBorder="1"/>
    <xf numFmtId="0" fontId="10" fillId="2" borderId="28" xfId="0" applyFont="1" applyFill="1" applyBorder="1" applyAlignment="1">
      <alignment horizontal="left" vertical="top"/>
    </xf>
    <xf numFmtId="0" fontId="10" fillId="0" borderId="21" xfId="0" applyFont="1" applyBorder="1"/>
    <xf numFmtId="0" fontId="10" fillId="0" borderId="13" xfId="0" applyFont="1" applyBorder="1"/>
    <xf numFmtId="0" fontId="10" fillId="3" borderId="21" xfId="0" applyFont="1" applyFill="1" applyBorder="1"/>
    <xf numFmtId="165" fontId="10" fillId="0" borderId="16" xfId="1" applyNumberFormat="1" applyFont="1" applyBorder="1"/>
    <xf numFmtId="167" fontId="10" fillId="0" borderId="13" xfId="0" applyNumberFormat="1" applyFont="1" applyBorder="1" applyAlignment="1">
      <alignment horizontal="center" vertical="center"/>
    </xf>
    <xf numFmtId="0" fontId="10" fillId="0" borderId="12" xfId="0" applyFont="1" applyBorder="1" applyProtection="1">
      <protection hidden="1"/>
    </xf>
    <xf numFmtId="0" fontId="10" fillId="0" borderId="28" xfId="0" applyFont="1" applyBorder="1" applyProtection="1">
      <protection hidden="1"/>
    </xf>
    <xf numFmtId="167" fontId="10" fillId="0" borderId="20" xfId="0" applyNumberFormat="1" applyFont="1" applyBorder="1" applyAlignment="1">
      <alignment horizontal="center" vertical="center"/>
    </xf>
    <xf numFmtId="167" fontId="10" fillId="0" borderId="27" xfId="0" applyNumberFormat="1" applyFont="1" applyBorder="1" applyAlignment="1">
      <alignment horizontal="center" vertical="center"/>
    </xf>
    <xf numFmtId="166" fontId="10" fillId="0" borderId="39" xfId="0" applyNumberFormat="1" applyFont="1" applyBorder="1" applyProtection="1">
      <protection hidden="1"/>
    </xf>
    <xf numFmtId="49" fontId="10" fillId="0" borderId="42" xfId="1" applyNumberFormat="1" applyFont="1" applyBorder="1" applyAlignment="1" applyProtection="1">
      <alignment horizontal="center"/>
      <protection hidden="1"/>
    </xf>
    <xf numFmtId="49" fontId="11" fillId="0" borderId="43" xfId="0" applyNumberFormat="1" applyFont="1" applyBorder="1" applyAlignment="1">
      <alignment horizontal="center" vertical="center"/>
    </xf>
    <xf numFmtId="167" fontId="10" fillId="0" borderId="6" xfId="0" applyNumberFormat="1" applyFont="1" applyBorder="1" applyAlignment="1">
      <alignment horizontal="center" vertical="center"/>
    </xf>
    <xf numFmtId="167" fontId="10" fillId="0" borderId="14" xfId="0" applyNumberFormat="1" applyFont="1" applyBorder="1" applyAlignment="1">
      <alignment horizontal="center" vertical="center"/>
    </xf>
    <xf numFmtId="167" fontId="10" fillId="0" borderId="19" xfId="0" applyNumberFormat="1" applyFont="1" applyBorder="1" applyAlignment="1">
      <alignment horizontal="center" vertical="center"/>
    </xf>
    <xf numFmtId="0" fontId="12" fillId="0" borderId="24" xfId="0" applyFont="1" applyBorder="1" applyAlignment="1">
      <alignment vertical="center"/>
    </xf>
    <xf numFmtId="0" fontId="9" fillId="0" borderId="26" xfId="0" applyFont="1" applyBorder="1" applyProtection="1">
      <protection hidden="1"/>
    </xf>
    <xf numFmtId="167" fontId="9" fillId="0" borderId="12" xfId="0" applyNumberFormat="1" applyFont="1" applyBorder="1" applyAlignment="1">
      <alignment horizontal="center" vertical="center"/>
    </xf>
    <xf numFmtId="1" fontId="10" fillId="0" borderId="16" xfId="0" applyNumberFormat="1" applyFont="1" applyBorder="1" applyProtection="1">
      <protection hidden="1"/>
    </xf>
    <xf numFmtId="167" fontId="9" fillId="0" borderId="28" xfId="0" applyNumberFormat="1" applyFont="1" applyBorder="1" applyAlignment="1">
      <alignment horizontal="center" vertical="center"/>
    </xf>
    <xf numFmtId="1" fontId="10" fillId="0" borderId="21" xfId="0" applyNumberFormat="1" applyFont="1" applyBorder="1" applyProtection="1">
      <protection hidden="1"/>
    </xf>
    <xf numFmtId="0" fontId="10" fillId="0" borderId="13"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0" xfId="0" applyFont="1" applyBorder="1"/>
    <xf numFmtId="0" fontId="9" fillId="0" borderId="32" xfId="0" applyFont="1" applyBorder="1"/>
    <xf numFmtId="0" fontId="9" fillId="0" borderId="33" xfId="0" applyFont="1" applyBorder="1"/>
    <xf numFmtId="0" fontId="9" fillId="0" borderId="29" xfId="0" applyFont="1" applyBorder="1" applyAlignment="1">
      <alignment horizontal="center" vertical="center" wrapText="1"/>
    </xf>
    <xf numFmtId="0" fontId="9" fillId="0" borderId="30" xfId="0" applyFont="1" applyBorder="1"/>
    <xf numFmtId="0" fontId="10" fillId="0" borderId="24" xfId="0" applyFont="1" applyBorder="1" applyAlignment="1">
      <alignment horizontal="center" vertical="center" wrapText="1"/>
    </xf>
    <xf numFmtId="0" fontId="10" fillId="0" borderId="25" xfId="0" applyFont="1" applyBorder="1"/>
    <xf numFmtId="0" fontId="10" fillId="0" borderId="26" xfId="0" applyFont="1" applyBorder="1"/>
    <xf numFmtId="0" fontId="10" fillId="0" borderId="12"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0" xfId="0" applyFont="1" applyBorder="1"/>
    <xf numFmtId="0" fontId="10" fillId="0" borderId="25" xfId="0" applyFont="1" applyBorder="1" applyAlignment="1">
      <alignment horizontal="center" vertical="center" wrapText="1"/>
    </xf>
    <xf numFmtId="0" fontId="10" fillId="0" borderId="20" xfId="0" applyFont="1" applyBorder="1" applyAlignment="1">
      <alignment horizontal="center" vertical="center" wrapText="1"/>
    </xf>
    <xf numFmtId="165" fontId="10" fillId="3" borderId="16" xfId="1" applyNumberFormat="1" applyFont="1" applyFill="1" applyBorder="1"/>
    <xf numFmtId="9" fontId="10" fillId="0" borderId="16" xfId="2" applyFont="1" applyBorder="1"/>
    <xf numFmtId="9" fontId="10" fillId="0" borderId="21" xfId="2" applyFont="1" applyBorder="1"/>
    <xf numFmtId="0" fontId="10" fillId="0" borderId="17" xfId="0" applyFont="1" applyBorder="1"/>
    <xf numFmtId="0" fontId="10" fillId="0" borderId="34" xfId="0" applyFont="1" applyBorder="1"/>
    <xf numFmtId="0" fontId="10" fillId="0" borderId="22" xfId="0" applyFont="1" applyBorder="1"/>
    <xf numFmtId="9" fontId="10" fillId="0" borderId="0" xfId="2" applyFont="1" applyBorder="1"/>
    <xf numFmtId="9" fontId="10" fillId="0" borderId="34" xfId="2" applyFont="1" applyBorder="1"/>
    <xf numFmtId="9" fontId="10" fillId="0" borderId="35" xfId="2" applyFont="1" applyBorder="1"/>
    <xf numFmtId="9" fontId="10" fillId="0" borderId="36" xfId="2" applyFont="1" applyBorder="1"/>
    <xf numFmtId="9" fontId="10" fillId="0" borderId="16" xfId="2" applyFont="1" applyFill="1" applyBorder="1"/>
    <xf numFmtId="0" fontId="9" fillId="0" borderId="41" xfId="0" applyFont="1" applyBorder="1"/>
    <xf numFmtId="164" fontId="10" fillId="0" borderId="0" xfId="1" applyFont="1" applyBorder="1"/>
    <xf numFmtId="0" fontId="5" fillId="4" borderId="0" xfId="0" applyFont="1" applyFill="1" applyAlignment="1">
      <alignment wrapText="1"/>
    </xf>
    <xf numFmtId="0" fontId="6" fillId="4" borderId="0" xfId="3" applyFont="1" applyFill="1" applyAlignment="1">
      <alignment horizontal="center" vertical="center" wrapText="1"/>
    </xf>
    <xf numFmtId="10" fontId="5" fillId="4" borderId="5" xfId="2" applyNumberFormat="1" applyFont="1" applyFill="1" applyBorder="1" applyAlignment="1">
      <alignment horizontal="center" wrapText="1"/>
    </xf>
    <xf numFmtId="10" fontId="5" fillId="4" borderId="5" xfId="2" applyNumberFormat="1" applyFont="1" applyFill="1" applyBorder="1" applyAlignment="1">
      <alignment horizontal="center" vertical="center" wrapText="1"/>
    </xf>
    <xf numFmtId="0" fontId="6" fillId="4" borderId="6" xfId="3" applyFont="1" applyFill="1" applyBorder="1" applyAlignment="1">
      <alignment horizontal="right" vertical="center" wrapText="1"/>
    </xf>
    <xf numFmtId="0" fontId="6" fillId="4" borderId="7" xfId="3" applyFont="1" applyFill="1" applyBorder="1" applyAlignment="1">
      <alignment horizontal="right" vertical="center" wrapText="1"/>
    </xf>
    <xf numFmtId="10" fontId="5" fillId="4" borderId="8" xfId="2" applyNumberFormat="1" applyFont="1" applyFill="1" applyBorder="1" applyAlignment="1">
      <alignment horizontal="right" vertical="center" wrapText="1"/>
    </xf>
    <xf numFmtId="10" fontId="5" fillId="4" borderId="7" xfId="2" applyNumberFormat="1" applyFont="1" applyFill="1" applyBorder="1" applyAlignment="1">
      <alignment horizontal="center" vertical="center" wrapText="1"/>
    </xf>
    <xf numFmtId="1" fontId="5" fillId="4" borderId="13" xfId="0" applyNumberFormat="1" applyFont="1" applyFill="1" applyBorder="1" applyAlignment="1">
      <alignment horizontal="center" vertical="center" wrapText="1"/>
    </xf>
    <xf numFmtId="3" fontId="5" fillId="4" borderId="13" xfId="0" applyNumberFormat="1" applyFont="1" applyFill="1" applyBorder="1" applyAlignment="1">
      <alignment vertical="center" wrapText="1"/>
    </xf>
    <xf numFmtId="1" fontId="5" fillId="4" borderId="20" xfId="0" applyNumberFormat="1" applyFont="1" applyFill="1" applyBorder="1" applyAlignment="1">
      <alignment horizontal="center" vertical="center" wrapText="1"/>
    </xf>
    <xf numFmtId="3" fontId="5" fillId="4" borderId="20" xfId="0" applyNumberFormat="1" applyFont="1" applyFill="1" applyBorder="1" applyAlignment="1">
      <alignment vertical="center" wrapText="1"/>
    </xf>
    <xf numFmtId="0" fontId="5" fillId="4" borderId="0" xfId="0" applyFont="1" applyFill="1" applyAlignment="1">
      <alignment vertical="center" wrapText="1"/>
    </xf>
    <xf numFmtId="0" fontId="5" fillId="4" borderId="0" xfId="0" applyFont="1" applyFill="1" applyAlignment="1">
      <alignment horizontal="right" vertical="center"/>
    </xf>
    <xf numFmtId="165" fontId="7" fillId="4" borderId="32" xfId="1" applyNumberFormat="1" applyFont="1" applyFill="1" applyBorder="1" applyAlignment="1">
      <alignment vertical="center" wrapText="1"/>
    </xf>
    <xf numFmtId="165" fontId="13" fillId="4" borderId="39" xfId="1" applyNumberFormat="1" applyFont="1" applyFill="1" applyBorder="1" applyAlignment="1">
      <alignment horizontal="center" vertical="center" wrapText="1"/>
    </xf>
    <xf numFmtId="165" fontId="13" fillId="4" borderId="42" xfId="1" applyNumberFormat="1" applyFont="1" applyFill="1" applyBorder="1" applyAlignment="1">
      <alignment horizontal="center" vertical="center" wrapText="1"/>
    </xf>
    <xf numFmtId="165" fontId="13" fillId="4" borderId="55" xfId="1" applyNumberFormat="1" applyFont="1" applyFill="1" applyBorder="1" applyAlignment="1">
      <alignment horizontal="center" vertical="center" wrapText="1"/>
    </xf>
    <xf numFmtId="165" fontId="13" fillId="4" borderId="40" xfId="1" applyNumberFormat="1" applyFont="1" applyFill="1" applyBorder="1" applyAlignment="1">
      <alignment horizontal="center" vertical="center" wrapText="1"/>
    </xf>
    <xf numFmtId="165" fontId="13" fillId="4" borderId="52" xfId="1" applyNumberFormat="1" applyFont="1" applyFill="1" applyBorder="1" applyAlignment="1">
      <alignment horizontal="center" vertical="center" wrapText="1"/>
    </xf>
    <xf numFmtId="3" fontId="5" fillId="4" borderId="37" xfId="1" applyNumberFormat="1" applyFont="1" applyFill="1" applyBorder="1" applyAlignment="1">
      <alignment horizontal="center" vertical="center" wrapText="1"/>
    </xf>
    <xf numFmtId="3" fontId="5" fillId="4" borderId="38" xfId="1" applyNumberFormat="1" applyFont="1" applyFill="1" applyBorder="1" applyAlignment="1">
      <alignment horizontal="center" vertical="center" wrapText="1"/>
    </xf>
    <xf numFmtId="3" fontId="5" fillId="4" borderId="13" xfId="1" applyNumberFormat="1" applyFont="1" applyFill="1" applyBorder="1" applyAlignment="1">
      <alignment horizontal="center" vertical="center" wrapText="1"/>
    </xf>
    <xf numFmtId="3" fontId="5" fillId="4" borderId="27" xfId="1" applyNumberFormat="1" applyFont="1" applyFill="1" applyBorder="1" applyAlignment="1">
      <alignment horizontal="center" vertical="center" wrapText="1"/>
    </xf>
    <xf numFmtId="3" fontId="5" fillId="4" borderId="38" xfId="0" applyNumberFormat="1" applyFont="1" applyFill="1" applyBorder="1" applyAlignment="1">
      <alignment horizontal="center" wrapText="1"/>
    </xf>
    <xf numFmtId="3" fontId="5" fillId="4" borderId="12" xfId="1" applyNumberFormat="1" applyFont="1" applyFill="1" applyBorder="1" applyAlignment="1">
      <alignment horizontal="center" vertical="center" wrapText="1"/>
    </xf>
    <xf numFmtId="3" fontId="5" fillId="4" borderId="16" xfId="1" applyNumberFormat="1" applyFont="1" applyFill="1" applyBorder="1" applyAlignment="1">
      <alignment horizontal="center" vertical="center" wrapText="1"/>
    </xf>
    <xf numFmtId="3" fontId="5" fillId="4" borderId="28" xfId="1" applyNumberFormat="1" applyFont="1" applyFill="1" applyBorder="1" applyAlignment="1">
      <alignment horizontal="center" vertical="center" wrapText="1"/>
    </xf>
    <xf numFmtId="0" fontId="5" fillId="4" borderId="0" xfId="0" applyFont="1" applyFill="1" applyAlignment="1">
      <alignment horizontal="left" wrapText="1"/>
    </xf>
    <xf numFmtId="0" fontId="8" fillId="4" borderId="0" xfId="0" applyFont="1" applyFill="1"/>
    <xf numFmtId="0" fontId="5" fillId="4" borderId="0" xfId="3" applyFont="1" applyFill="1" applyAlignment="1">
      <alignment vertical="center" wrapText="1"/>
    </xf>
    <xf numFmtId="0" fontId="6" fillId="4" borderId="0" xfId="3" applyFont="1" applyFill="1" applyAlignment="1">
      <alignment vertical="center" wrapText="1"/>
    </xf>
    <xf numFmtId="0" fontId="6" fillId="4" borderId="4" xfId="3" applyFont="1" applyFill="1" applyBorder="1" applyAlignment="1">
      <alignment vertical="center" wrapText="1"/>
    </xf>
    <xf numFmtId="0" fontId="6" fillId="4" borderId="6" xfId="3" applyFont="1" applyFill="1" applyBorder="1" applyAlignment="1">
      <alignment vertical="center" wrapText="1"/>
    </xf>
    <xf numFmtId="0" fontId="5" fillId="4" borderId="6" xfId="3" applyFont="1" applyFill="1" applyBorder="1" applyAlignment="1">
      <alignment vertical="center" wrapText="1"/>
    </xf>
    <xf numFmtId="10" fontId="10" fillId="0" borderId="26" xfId="2" applyNumberFormat="1" applyFont="1" applyBorder="1"/>
    <xf numFmtId="10" fontId="10" fillId="0" borderId="16" xfId="2" applyNumberFormat="1" applyFont="1" applyBorder="1"/>
    <xf numFmtId="166" fontId="9" fillId="0" borderId="31" xfId="0" applyNumberFormat="1" applyFont="1" applyBorder="1"/>
    <xf numFmtId="168" fontId="0" fillId="0" borderId="0" xfId="0" applyNumberFormat="1"/>
    <xf numFmtId="0" fontId="21" fillId="0" borderId="0" xfId="0" applyFont="1" applyAlignment="1">
      <alignment horizontal="right" vertical="center" wrapText="1"/>
    </xf>
    <xf numFmtId="0" fontId="21" fillId="0" borderId="0" xfId="0" applyFont="1" applyAlignment="1">
      <alignment horizontal="right" vertical="center"/>
    </xf>
    <xf numFmtId="0" fontId="21" fillId="0" borderId="0" xfId="0" applyFont="1" applyAlignment="1">
      <alignment vertical="center" wrapText="1"/>
    </xf>
    <xf numFmtId="0" fontId="21" fillId="0" borderId="0" xfId="0" applyFont="1" applyAlignment="1">
      <alignment vertical="center"/>
    </xf>
    <xf numFmtId="10" fontId="21" fillId="0" borderId="0" xfId="2" applyNumberFormat="1" applyFont="1" applyBorder="1" applyAlignment="1">
      <alignment vertical="center"/>
    </xf>
    <xf numFmtId="0" fontId="0" fillId="0" borderId="0" xfId="0" applyAlignment="1">
      <alignment vertical="center"/>
    </xf>
    <xf numFmtId="0" fontId="20" fillId="0" borderId="0" xfId="0" applyFont="1" applyAlignment="1">
      <alignment vertical="center"/>
    </xf>
    <xf numFmtId="10" fontId="21" fillId="0" borderId="0" xfId="0" applyNumberFormat="1" applyFont="1" applyAlignment="1">
      <alignment vertical="center"/>
    </xf>
    <xf numFmtId="9" fontId="21" fillId="0" borderId="0" xfId="0" applyNumberFormat="1" applyFont="1" applyAlignment="1">
      <alignment vertical="center"/>
    </xf>
    <xf numFmtId="165" fontId="10" fillId="0" borderId="37" xfId="1" applyNumberFormat="1" applyFont="1" applyBorder="1" applyProtection="1">
      <protection hidden="1"/>
    </xf>
    <xf numFmtId="165" fontId="10" fillId="0" borderId="12" xfId="1" applyNumberFormat="1" applyFont="1" applyBorder="1" applyProtection="1">
      <protection hidden="1"/>
    </xf>
    <xf numFmtId="2" fontId="10" fillId="0" borderId="42" xfId="1" applyNumberFormat="1" applyFont="1" applyBorder="1" applyAlignment="1" applyProtection="1">
      <alignment horizontal="center"/>
      <protection hidden="1"/>
    </xf>
    <xf numFmtId="0" fontId="9" fillId="0" borderId="0" xfId="0" applyFont="1"/>
    <xf numFmtId="0" fontId="23" fillId="0" borderId="13" xfId="0" applyFont="1" applyBorder="1" applyAlignment="1">
      <alignment horizontal="right" vertical="center" wrapText="1"/>
    </xf>
    <xf numFmtId="0" fontId="23" fillId="0" borderId="13" xfId="0" applyFont="1" applyBorder="1" applyAlignment="1">
      <alignment vertical="center" wrapText="1"/>
    </xf>
    <xf numFmtId="0" fontId="0" fillId="0" borderId="13" xfId="0" applyBorder="1" applyAlignment="1">
      <alignment vertical="center"/>
    </xf>
    <xf numFmtId="10" fontId="22" fillId="0" borderId="13" xfId="0" applyNumberFormat="1" applyFont="1" applyBorder="1" applyAlignment="1">
      <alignment horizontal="center" vertical="center"/>
    </xf>
    <xf numFmtId="10" fontId="22" fillId="0" borderId="13" xfId="0" applyNumberFormat="1" applyFont="1" applyBorder="1" applyAlignment="1">
      <alignment horizontal="center" vertical="center" wrapText="1"/>
    </xf>
    <xf numFmtId="9" fontId="22" fillId="0" borderId="13" xfId="0" applyNumberFormat="1" applyFont="1" applyBorder="1" applyAlignment="1">
      <alignment horizontal="center" vertical="center" wrapText="1"/>
    </xf>
    <xf numFmtId="0" fontId="23" fillId="0" borderId="13" xfId="0" applyFont="1" applyBorder="1" applyAlignment="1">
      <alignment horizontal="center" vertical="center"/>
    </xf>
    <xf numFmtId="165" fontId="21" fillId="0" borderId="13" xfId="1" applyNumberFormat="1" applyFont="1" applyBorder="1" applyAlignment="1">
      <alignment vertical="center" wrapText="1"/>
    </xf>
    <xf numFmtId="9" fontId="22" fillId="0" borderId="13" xfId="0" applyNumberFormat="1" applyFont="1" applyBorder="1" applyAlignment="1">
      <alignment horizontal="center" vertical="center"/>
    </xf>
    <xf numFmtId="165" fontId="10" fillId="0" borderId="0" xfId="0" applyNumberFormat="1" applyFont="1"/>
    <xf numFmtId="165" fontId="0" fillId="0" borderId="0" xfId="1" applyNumberFormat="1" applyFont="1"/>
    <xf numFmtId="166" fontId="0" fillId="0" borderId="0" xfId="0" applyNumberFormat="1"/>
    <xf numFmtId="165" fontId="0" fillId="0" borderId="0" xfId="0" applyNumberFormat="1"/>
    <xf numFmtId="0" fontId="9" fillId="3" borderId="45" xfId="0" applyFont="1" applyFill="1" applyBorder="1" applyAlignment="1">
      <alignment horizontal="center"/>
    </xf>
    <xf numFmtId="0" fontId="9" fillId="3" borderId="47" xfId="0" applyFont="1" applyFill="1" applyBorder="1" applyAlignment="1">
      <alignment horizontal="center"/>
    </xf>
    <xf numFmtId="0" fontId="6" fillId="4" borderId="4" xfId="3" applyFont="1" applyFill="1" applyBorder="1" applyAlignment="1">
      <alignment horizontal="center" vertical="center" wrapText="1"/>
    </xf>
    <xf numFmtId="0" fontId="6" fillId="4" borderId="0" xfId="3" applyFont="1" applyFill="1" applyAlignment="1">
      <alignment horizontal="center" vertical="center" wrapText="1"/>
    </xf>
    <xf numFmtId="0" fontId="6" fillId="4" borderId="5" xfId="3" applyFont="1" applyFill="1" applyBorder="1" applyAlignment="1">
      <alignment horizontal="center" vertical="center" wrapText="1"/>
    </xf>
    <xf numFmtId="0" fontId="5" fillId="4" borderId="4" xfId="3" applyFont="1" applyFill="1" applyBorder="1" applyAlignment="1">
      <alignment horizontal="center" vertical="center" wrapText="1"/>
    </xf>
    <xf numFmtId="0" fontId="5" fillId="4" borderId="0" xfId="3" applyFont="1" applyFill="1" applyAlignment="1">
      <alignment horizontal="center" vertical="center" wrapText="1"/>
    </xf>
    <xf numFmtId="0" fontId="5" fillId="4" borderId="5" xfId="3" applyFont="1" applyFill="1" applyBorder="1" applyAlignment="1">
      <alignment horizontal="center" vertical="center" wrapText="1"/>
    </xf>
    <xf numFmtId="0" fontId="6" fillId="4" borderId="8" xfId="3" applyFont="1" applyFill="1" applyBorder="1" applyAlignment="1">
      <alignment horizontal="center" vertical="center" wrapText="1"/>
    </xf>
    <xf numFmtId="0" fontId="6" fillId="4" borderId="7" xfId="3" applyFont="1" applyFill="1" applyBorder="1" applyAlignment="1">
      <alignment horizontal="center" vertical="center" wrapText="1"/>
    </xf>
    <xf numFmtId="0" fontId="5" fillId="4" borderId="8" xfId="3" applyFont="1" applyFill="1" applyBorder="1" applyAlignment="1">
      <alignment horizontal="center" vertical="center" wrapText="1"/>
    </xf>
    <xf numFmtId="0" fontId="5" fillId="4" borderId="7" xfId="3"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1" xfId="3" applyFont="1" applyFill="1" applyBorder="1" applyAlignment="1">
      <alignment horizontal="left" vertical="center" wrapText="1"/>
    </xf>
    <xf numFmtId="0" fontId="5" fillId="4" borderId="3" xfId="3" applyFont="1" applyFill="1" applyBorder="1" applyAlignment="1">
      <alignment horizontal="left" vertical="center" wrapText="1"/>
    </xf>
    <xf numFmtId="0" fontId="5" fillId="4" borderId="2" xfId="3" applyFont="1" applyFill="1" applyBorder="1" applyAlignment="1">
      <alignment horizontal="left" vertical="center" wrapText="1"/>
    </xf>
    <xf numFmtId="0" fontId="5" fillId="4" borderId="0" xfId="0" applyFont="1" applyFill="1" applyAlignment="1">
      <alignment horizontal="left" vertical="center" wrapText="1" indent="1"/>
    </xf>
    <xf numFmtId="0" fontId="5" fillId="4" borderId="0" xfId="0" applyFont="1" applyFill="1" applyAlignment="1">
      <alignment horizontal="left" wrapText="1"/>
    </xf>
    <xf numFmtId="165" fontId="7" fillId="4" borderId="56" xfId="1" applyNumberFormat="1" applyFont="1" applyFill="1" applyBorder="1" applyAlignment="1">
      <alignment horizontal="center" vertical="center" wrapText="1"/>
    </xf>
    <xf numFmtId="165" fontId="7" fillId="4" borderId="57" xfId="1" applyNumberFormat="1" applyFont="1" applyFill="1" applyBorder="1" applyAlignment="1">
      <alignment horizontal="center" vertical="center" wrapText="1"/>
    </xf>
    <xf numFmtId="165" fontId="7" fillId="4" borderId="39" xfId="1" applyNumberFormat="1" applyFont="1" applyFill="1" applyBorder="1" applyAlignment="1">
      <alignment horizontal="center" vertical="center" wrapText="1"/>
    </xf>
    <xf numFmtId="165" fontId="7" fillId="4" borderId="42" xfId="1" applyNumberFormat="1" applyFont="1" applyFill="1" applyBorder="1" applyAlignment="1">
      <alignment horizontal="center" vertical="center" wrapText="1"/>
    </xf>
    <xf numFmtId="165" fontId="7" fillId="4" borderId="40" xfId="1"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3" fontId="5" fillId="4" borderId="51" xfId="0" applyNumberFormat="1" applyFont="1" applyFill="1" applyBorder="1" applyAlignment="1">
      <alignment horizontal="center" vertical="center" wrapText="1"/>
    </xf>
    <xf numFmtId="0" fontId="5" fillId="4" borderId="28" xfId="0" applyFont="1" applyFill="1" applyBorder="1" applyAlignment="1">
      <alignment horizontal="right" vertical="center" wrapText="1"/>
    </xf>
    <xf numFmtId="0" fontId="5" fillId="4" borderId="20" xfId="0" applyFont="1" applyFill="1" applyBorder="1" applyAlignment="1">
      <alignment horizontal="right" vertical="center" wrapText="1"/>
    </xf>
    <xf numFmtId="165" fontId="13" fillId="4" borderId="53" xfId="1" applyNumberFormat="1" applyFont="1" applyFill="1" applyBorder="1" applyAlignment="1">
      <alignment horizontal="center" vertical="center" wrapText="1"/>
    </xf>
    <xf numFmtId="165" fontId="13" fillId="4" borderId="54" xfId="1" applyNumberFormat="1" applyFont="1" applyFill="1" applyBorder="1" applyAlignment="1">
      <alignment horizontal="center" vertical="center" wrapText="1"/>
    </xf>
    <xf numFmtId="0" fontId="5" fillId="4" borderId="12" xfId="0" applyFont="1" applyFill="1" applyBorder="1" applyAlignment="1">
      <alignment horizontal="right" vertical="center" wrapText="1"/>
    </xf>
    <xf numFmtId="0" fontId="5" fillId="4" borderId="13" xfId="0" applyFont="1" applyFill="1" applyBorder="1" applyAlignment="1">
      <alignment horizontal="right" vertical="center" wrapText="1"/>
    </xf>
    <xf numFmtId="0" fontId="7" fillId="4" borderId="45" xfId="3" applyFont="1" applyFill="1" applyBorder="1" applyAlignment="1">
      <alignment horizontal="center" vertical="center" wrapText="1"/>
    </xf>
    <xf numFmtId="0" fontId="7" fillId="4" borderId="46" xfId="3" applyFont="1" applyFill="1" applyBorder="1" applyAlignment="1">
      <alignment horizontal="center" vertical="center" wrapText="1"/>
    </xf>
    <xf numFmtId="0" fontId="7" fillId="4" borderId="47" xfId="3"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4" borderId="12" xfId="0" applyFont="1" applyFill="1" applyBorder="1" applyAlignment="1">
      <alignment horizontal="center" vertical="center" wrapText="1"/>
    </xf>
    <xf numFmtId="3" fontId="5" fillId="4" borderId="14" xfId="0" applyNumberFormat="1" applyFont="1" applyFill="1" applyBorder="1" applyAlignment="1">
      <alignment horizontal="center" vertical="center" wrapText="1"/>
    </xf>
    <xf numFmtId="3" fontId="5" fillId="4" borderId="50" xfId="0" applyNumberFormat="1" applyFont="1" applyFill="1" applyBorder="1" applyAlignment="1">
      <alignment horizontal="center" vertical="center" wrapText="1"/>
    </xf>
    <xf numFmtId="0" fontId="5" fillId="4" borderId="49"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5" fillId="4" borderId="46"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18" xfId="0" applyFont="1" applyFill="1" applyBorder="1" applyAlignment="1">
      <alignment horizontal="center" vertical="center" wrapText="1"/>
    </xf>
    <xf numFmtId="3" fontId="5" fillId="4" borderId="20" xfId="0" applyNumberFormat="1" applyFont="1" applyFill="1" applyBorder="1" applyAlignment="1">
      <alignment horizontal="center" vertical="center" wrapText="1"/>
    </xf>
    <xf numFmtId="0" fontId="5" fillId="4" borderId="21" xfId="0" applyFont="1" applyFill="1" applyBorder="1" applyAlignment="1">
      <alignment horizontal="center" vertical="center" wrapText="1"/>
    </xf>
    <xf numFmtId="10" fontId="5" fillId="4" borderId="0" xfId="2" applyNumberFormat="1" applyFont="1" applyFill="1" applyBorder="1" applyAlignment="1">
      <alignment horizontal="right" vertical="center" wrapText="1"/>
    </xf>
    <xf numFmtId="0" fontId="6" fillId="4" borderId="6" xfId="3" applyFont="1" applyFill="1" applyBorder="1" applyAlignment="1">
      <alignment horizontal="center" vertical="center" wrapText="1"/>
    </xf>
    <xf numFmtId="3" fontId="6" fillId="4" borderId="8" xfId="3" applyNumberFormat="1" applyFont="1" applyFill="1" applyBorder="1" applyAlignment="1">
      <alignment horizontal="center" vertical="center" wrapText="1"/>
    </xf>
    <xf numFmtId="0" fontId="7" fillId="4" borderId="9" xfId="3" applyFont="1" applyFill="1" applyBorder="1" applyAlignment="1">
      <alignment horizontal="center" vertical="center" wrapText="1"/>
    </xf>
    <xf numFmtId="0" fontId="7" fillId="4" borderId="10" xfId="3" applyFont="1" applyFill="1" applyBorder="1" applyAlignment="1">
      <alignment horizontal="center" vertical="center" wrapText="1"/>
    </xf>
    <xf numFmtId="0" fontId="7" fillId="4" borderId="11" xfId="3"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44"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3" fontId="5" fillId="4" borderId="13" xfId="0" applyNumberFormat="1" applyFont="1" applyFill="1" applyBorder="1" applyAlignment="1">
      <alignment horizontal="center" vertical="center" wrapText="1"/>
    </xf>
    <xf numFmtId="0" fontId="5" fillId="4" borderId="16" xfId="0" applyFont="1" applyFill="1" applyBorder="1" applyAlignment="1">
      <alignment horizontal="center" vertical="center" wrapText="1"/>
    </xf>
    <xf numFmtId="0" fontId="6" fillId="4" borderId="4" xfId="3" applyFont="1" applyFill="1" applyBorder="1" applyAlignment="1">
      <alignment horizontal="right" vertical="center" wrapText="1"/>
    </xf>
    <xf numFmtId="0" fontId="6" fillId="4" borderId="5" xfId="3" applyFont="1" applyFill="1" applyBorder="1" applyAlignment="1">
      <alignment horizontal="right" vertical="center" wrapText="1"/>
    </xf>
    <xf numFmtId="0" fontId="5" fillId="4" borderId="0" xfId="0" applyFont="1" applyFill="1" applyAlignment="1">
      <alignment horizontal="center" vertical="center" wrapText="1"/>
    </xf>
    <xf numFmtId="0" fontId="5" fillId="4" borderId="5" xfId="0" applyFont="1" applyFill="1" applyBorder="1" applyAlignment="1">
      <alignment horizontal="center" vertical="center" wrapText="1"/>
    </xf>
    <xf numFmtId="3" fontId="6" fillId="4" borderId="0" xfId="3" applyNumberFormat="1" applyFont="1" applyFill="1" applyAlignment="1">
      <alignment horizontal="center" vertical="center" wrapText="1"/>
    </xf>
    <xf numFmtId="0" fontId="3" fillId="4" borderId="0" xfId="3" applyFont="1" applyFill="1" applyAlignment="1">
      <alignment horizontal="center" vertical="center" wrapText="1"/>
    </xf>
    <xf numFmtId="0" fontId="4" fillId="4" borderId="0" xfId="3" applyFont="1" applyFill="1" applyAlignment="1">
      <alignment horizontal="center" vertical="center" wrapText="1"/>
    </xf>
    <xf numFmtId="0" fontId="6" fillId="4" borderId="1" xfId="3" applyFont="1" applyFill="1" applyBorder="1" applyAlignment="1">
      <alignment horizontal="right" vertical="center" wrapText="1"/>
    </xf>
    <xf numFmtId="0" fontId="6" fillId="4" borderId="2" xfId="3" applyFont="1" applyFill="1" applyBorder="1" applyAlignment="1">
      <alignment horizontal="right" vertical="center" wrapText="1"/>
    </xf>
    <xf numFmtId="0" fontId="6" fillId="4" borderId="3" xfId="3" applyFont="1" applyFill="1" applyBorder="1" applyAlignment="1">
      <alignment horizontal="center" vertical="center" wrapText="1"/>
    </xf>
    <xf numFmtId="0" fontId="5" fillId="4" borderId="3" xfId="0" applyFont="1" applyFill="1" applyBorder="1" applyAlignment="1">
      <alignment horizontal="center" vertical="center" wrapText="1"/>
    </xf>
  </cellXfs>
  <cellStyles count="29">
    <cellStyle name="Comma" xfId="1" builtinId="3"/>
    <cellStyle name="Comma 2" xfId="10" xr:uid="{3D0C7055-0917-48EB-B0B9-562DFB82FDCF}"/>
    <cellStyle name="Comma 2 2" xfId="15" xr:uid="{7D15AF82-C25E-4F45-AE7E-0D26B1E3686E}"/>
    <cellStyle name="Comma 2 5" xfId="6" xr:uid="{BEFFFE23-5753-4EB1-B6B5-79D6D795E689}"/>
    <cellStyle name="Comma 3" xfId="11" xr:uid="{449F75D3-2709-4561-BD4E-DDFC4B4CD0C2}"/>
    <cellStyle name="Comma 4" xfId="26" xr:uid="{51A15A00-DD48-4DFA-8033-4E17E56B4705}"/>
    <cellStyle name="Comma 5" xfId="28" xr:uid="{B1381A59-AEDB-46DB-AD09-8CE993049169}"/>
    <cellStyle name="Normal" xfId="0" builtinId="0"/>
    <cellStyle name="Normal 2" xfId="3" xr:uid="{B6A69F9F-3FB3-4647-AE49-E241B3823FA9}"/>
    <cellStyle name="Normal 2 2" xfId="7" xr:uid="{61990755-AFA1-4C0A-BBFB-F9F051AA33FD}"/>
    <cellStyle name="Normal 2 2 2" xfId="16" xr:uid="{D70842D9-7ED1-4D5A-8107-73A3807EFB30}"/>
    <cellStyle name="Normal 2 2 2 2" xfId="17" xr:uid="{2A1A3185-06CA-48B8-A472-88E20D80630C}"/>
    <cellStyle name="Normal 2 3" xfId="18" xr:uid="{BBC23AF3-649C-497D-BD96-A8B02BF04CBF}"/>
    <cellStyle name="Normal 2 3 2" xfId="19" xr:uid="{E4314497-D447-4B60-A4CD-29160EB4F514}"/>
    <cellStyle name="Normal 2 4" xfId="20" xr:uid="{7FDE88BC-EC98-40C4-812A-C869B43467FE}"/>
    <cellStyle name="Normal 2 5" xfId="5" xr:uid="{C3138028-F76F-4937-9C38-5974D5A02DAB}"/>
    <cellStyle name="Normal 3" xfId="8" xr:uid="{F82A5FBB-F91C-41B8-88BF-D27C9DBACC91}"/>
    <cellStyle name="Normal 3 2" xfId="21" xr:uid="{2FAF2958-3AAC-4A03-95C9-31CEECA982DA}"/>
    <cellStyle name="Normal 4" xfId="12" xr:uid="{E55BF7C3-40C9-47C7-8292-33E991669D70}"/>
    <cellStyle name="Normal 4 2" xfId="22" xr:uid="{E2A84081-1D9D-4110-81B8-B2A404161A91}"/>
    <cellStyle name="Normal 5" xfId="13" xr:uid="{8BCEBC5C-FBD4-47DA-8EFF-42A1408DA3E0}"/>
    <cellStyle name="Normal 5 2" xfId="23" xr:uid="{CE3E304B-8426-441D-AB07-8C3405C190B3}"/>
    <cellStyle name="Normal 6" xfId="25" xr:uid="{3357ED7A-E951-4C2D-B15A-BD94D0366475}"/>
    <cellStyle name="Normal 7" xfId="4" xr:uid="{BD722929-2928-4BB1-AF58-6056469B2648}"/>
    <cellStyle name="Percent" xfId="2" builtinId="5"/>
    <cellStyle name="Percent 2" xfId="9" xr:uid="{CD21C931-6039-4955-AB0B-9CCA09C8F08F}"/>
    <cellStyle name="Percent 2 2" xfId="24" xr:uid="{5ADBE224-1496-4F31-9E3B-075AAD145AFE}"/>
    <cellStyle name="Percent 3" xfId="27" xr:uid="{9D4884FD-810E-4BF8-BB17-73CB7E6A9DF9}"/>
    <cellStyle name="Style 1" xfId="14" xr:uid="{69F4686C-2218-4660-A27D-461CC8C18DF9}"/>
  </cellStyles>
  <dxfs count="1">
    <dxf>
      <font>
        <color theme="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99D1-E96F-40EE-8823-85AA4B0EB5F3}">
  <sheetPr codeName="Sheet1"/>
  <dimension ref="A1:Z254"/>
  <sheetViews>
    <sheetView tabSelected="1" topLeftCell="A19" workbookViewId="0">
      <selection activeCell="A30" sqref="A30"/>
    </sheetView>
  </sheetViews>
  <sheetFormatPr defaultColWidth="8.7265625" defaultRowHeight="12.5"/>
  <cols>
    <col min="1" max="1" width="25.453125" style="1" bestFit="1" customWidth="1"/>
    <col min="2" max="2" width="18.453125" style="1" bestFit="1" customWidth="1"/>
    <col min="3" max="3" width="1.81640625" style="1" bestFit="1" customWidth="1"/>
    <col min="4" max="4" width="9.26953125" style="1" bestFit="1" customWidth="1"/>
    <col min="5" max="5" width="10.26953125" style="1" bestFit="1" customWidth="1"/>
    <col min="6" max="7" width="8.7265625" style="1"/>
    <col min="8" max="8" width="17.81640625" style="1" bestFit="1" customWidth="1"/>
    <col min="9" max="10" width="13.81640625" style="1" bestFit="1" customWidth="1"/>
    <col min="11" max="11" width="9.81640625" style="1" bestFit="1" customWidth="1"/>
    <col min="12" max="12" width="9.453125" style="1" bestFit="1" customWidth="1"/>
    <col min="13" max="13" width="10.81640625" style="1" bestFit="1" customWidth="1"/>
    <col min="14" max="14" width="2.1796875" style="1" bestFit="1" customWidth="1"/>
    <col min="15" max="16384" width="8.7265625" style="1"/>
  </cols>
  <sheetData>
    <row r="1" spans="1:26" ht="15" customHeight="1" thickBot="1">
      <c r="A1" s="122" t="s">
        <v>117</v>
      </c>
      <c r="B1" s="123"/>
      <c r="H1" s="16"/>
      <c r="I1" s="107">
        <f>VLOOKUP(iPRM_PP,H2:I4,2,0)</f>
        <v>25</v>
      </c>
      <c r="J1" s="107">
        <f>VLOOKUP(iPRM_PP,H2:J4,3,0)</f>
        <v>0</v>
      </c>
      <c r="K1" s="17"/>
      <c r="L1" s="18"/>
      <c r="M1" s="22"/>
      <c r="N1" s="23"/>
      <c r="R1" s="32"/>
      <c r="S1" s="55"/>
      <c r="T1" s="55"/>
      <c r="U1" s="55"/>
      <c r="V1" s="55"/>
      <c r="W1" s="55"/>
      <c r="X1" s="55"/>
      <c r="Y1" s="55"/>
      <c r="Z1" s="33"/>
    </row>
    <row r="2" spans="1:26">
      <c r="A2" s="2" t="s">
        <v>60</v>
      </c>
      <c r="B2" s="3" t="s">
        <v>105</v>
      </c>
      <c r="D2" s="1">
        <f>VLOOKUP(B2,P2:Q4,2,0)</f>
        <v>3</v>
      </c>
      <c r="H2" s="105">
        <v>7</v>
      </c>
      <c r="I2" s="15">
        <v>15</v>
      </c>
      <c r="J2" s="15">
        <v>20</v>
      </c>
      <c r="K2" s="15"/>
      <c r="L2" s="19"/>
      <c r="M2" s="24"/>
      <c r="N2" s="25"/>
      <c r="P2" s="1" t="s">
        <v>106</v>
      </c>
      <c r="Q2" s="1">
        <v>1</v>
      </c>
      <c r="R2" s="47"/>
      <c r="T2" s="1">
        <v>7</v>
      </c>
      <c r="U2" s="1">
        <v>7</v>
      </c>
      <c r="V2" s="1">
        <v>10</v>
      </c>
      <c r="W2" s="1">
        <v>10</v>
      </c>
      <c r="X2" s="1">
        <v>12</v>
      </c>
      <c r="Z2" s="48"/>
    </row>
    <row r="3" spans="1:26">
      <c r="A3" s="2" t="s">
        <v>51</v>
      </c>
      <c r="B3" s="3">
        <v>35</v>
      </c>
      <c r="H3" s="106">
        <v>10</v>
      </c>
      <c r="I3" s="11">
        <v>20</v>
      </c>
      <c r="J3" s="11">
        <v>25</v>
      </c>
      <c r="K3" s="11"/>
      <c r="L3" s="20"/>
      <c r="M3" s="24"/>
      <c r="N3" s="25"/>
      <c r="P3" s="1" t="s">
        <v>108</v>
      </c>
      <c r="Q3" s="1">
        <v>2</v>
      </c>
      <c r="R3" s="47"/>
      <c r="S3" s="50"/>
      <c r="T3" s="56">
        <v>15</v>
      </c>
      <c r="U3" s="56">
        <v>20</v>
      </c>
      <c r="V3" s="56">
        <v>20</v>
      </c>
      <c r="W3" s="56">
        <v>25</v>
      </c>
      <c r="X3" s="56">
        <v>25</v>
      </c>
      <c r="Y3" s="50"/>
      <c r="Z3" s="51"/>
    </row>
    <row r="4" spans="1:26">
      <c r="A4" s="2" t="s">
        <v>52</v>
      </c>
      <c r="B4" s="3" t="s">
        <v>50</v>
      </c>
      <c r="H4" s="106">
        <v>12</v>
      </c>
      <c r="I4" s="11">
        <v>25</v>
      </c>
      <c r="J4" s="11"/>
      <c r="K4" s="11"/>
      <c r="L4" s="20"/>
      <c r="M4" s="24"/>
      <c r="N4" s="25"/>
      <c r="P4" s="1" t="s">
        <v>105</v>
      </c>
      <c r="Q4" s="1">
        <v>3</v>
      </c>
      <c r="R4" s="47"/>
      <c r="S4" s="56">
        <v>1</v>
      </c>
      <c r="T4" s="50"/>
      <c r="U4" s="50"/>
      <c r="V4" s="50"/>
      <c r="W4" s="50"/>
      <c r="X4" s="50"/>
      <c r="Y4" s="50"/>
      <c r="Z4" s="51"/>
    </row>
    <row r="5" spans="1:26">
      <c r="A5" s="2" t="s">
        <v>53</v>
      </c>
      <c r="B5" s="3">
        <v>35</v>
      </c>
      <c r="H5" s="12"/>
      <c r="I5" s="11"/>
      <c r="J5" s="11"/>
      <c r="K5" s="11"/>
      <c r="L5" s="20"/>
      <c r="M5" s="24"/>
      <c r="N5" s="25"/>
      <c r="R5" s="47"/>
      <c r="S5" s="56">
        <f>S4+1</f>
        <v>2</v>
      </c>
      <c r="T5" s="50"/>
      <c r="U5" s="50"/>
      <c r="V5" s="50"/>
      <c r="W5" s="50"/>
      <c r="X5" s="50"/>
      <c r="Y5" s="50"/>
      <c r="Z5" s="51"/>
    </row>
    <row r="6" spans="1:26" ht="13" thickBot="1">
      <c r="A6" s="2" t="s">
        <v>54</v>
      </c>
      <c r="B6" s="3" t="s">
        <v>80</v>
      </c>
      <c r="H6" s="13"/>
      <c r="I6" s="14"/>
      <c r="J6" s="14"/>
      <c r="K6" s="14"/>
      <c r="L6" s="21"/>
      <c r="M6" s="26"/>
      <c r="N6" s="27"/>
      <c r="R6" s="47"/>
      <c r="S6" s="56">
        <f t="shared" ref="S6:S26" si="0">S5+1</f>
        <v>3</v>
      </c>
      <c r="T6" s="50"/>
      <c r="U6" s="50"/>
      <c r="V6" s="50"/>
      <c r="W6" s="50"/>
      <c r="X6" s="50"/>
      <c r="Y6" s="50"/>
      <c r="Z6" s="51"/>
    </row>
    <row r="7" spans="1:26" ht="13" thickBot="1">
      <c r="A7" s="2" t="s">
        <v>56</v>
      </c>
      <c r="B7" s="3">
        <v>12</v>
      </c>
      <c r="D7" s="1">
        <f>IF(AND(iPRM_PP=7,iBP=15),1,IF(AND(iPRM_PP=7,iBP=20),2,IF(AND(iPRM_PP=10,iBP=20),3,IF(AND(iPRM_PP=10,iBP=25),4,5))))</f>
        <v>5</v>
      </c>
      <c r="R7" s="47"/>
      <c r="S7" s="56">
        <f t="shared" si="0"/>
        <v>4</v>
      </c>
      <c r="T7" s="50"/>
      <c r="U7" s="50"/>
      <c r="V7" s="50"/>
      <c r="W7" s="50"/>
      <c r="X7" s="50"/>
      <c r="Y7" s="50"/>
      <c r="Z7" s="51"/>
    </row>
    <row r="8" spans="1:26" ht="13" thickBot="1">
      <c r="A8" s="2" t="s">
        <v>57</v>
      </c>
      <c r="B8" s="3">
        <v>25</v>
      </c>
      <c r="I8" s="32">
        <f>VLOOKUP(B10,H10:J13,2,0)</f>
        <v>8.6699999999999999E-2</v>
      </c>
      <c r="J8" s="33">
        <f>VLOOKUP(B10,H10:J13,3,0)</f>
        <v>12</v>
      </c>
      <c r="R8" s="47"/>
      <c r="S8" s="56">
        <f t="shared" si="0"/>
        <v>5</v>
      </c>
      <c r="T8" s="50">
        <v>1.05</v>
      </c>
      <c r="U8" s="50">
        <v>1.05</v>
      </c>
      <c r="V8" s="50"/>
      <c r="W8" s="50"/>
      <c r="X8" s="50"/>
      <c r="Y8" s="50"/>
      <c r="Z8" s="51"/>
    </row>
    <row r="9" spans="1:26" ht="13" thickBot="1">
      <c r="A9" s="4" t="s">
        <v>63</v>
      </c>
      <c r="B9" s="44">
        <v>50000</v>
      </c>
      <c r="D9" s="1">
        <f>IF(iPRM&lt;100000,1,IF(iPRM&lt;150000,2,3))</f>
        <v>1</v>
      </c>
      <c r="H9" s="29" t="s">
        <v>65</v>
      </c>
      <c r="I9" s="30" t="s">
        <v>66</v>
      </c>
      <c r="J9" s="31" t="s">
        <v>72</v>
      </c>
      <c r="R9" s="47"/>
      <c r="S9" s="56">
        <f t="shared" si="0"/>
        <v>6</v>
      </c>
      <c r="T9" s="50">
        <v>1.05</v>
      </c>
      <c r="U9" s="50">
        <v>1.05</v>
      </c>
      <c r="V9" s="50"/>
      <c r="W9" s="50"/>
      <c r="X9" s="50"/>
      <c r="Y9" s="50"/>
      <c r="Z9" s="51"/>
    </row>
    <row r="10" spans="1:26">
      <c r="A10" s="2" t="s">
        <v>71</v>
      </c>
      <c r="B10" s="3" t="s">
        <v>70</v>
      </c>
      <c r="H10" s="36" t="s">
        <v>67</v>
      </c>
      <c r="I10" s="42">
        <v>1</v>
      </c>
      <c r="J10" s="38">
        <v>1</v>
      </c>
      <c r="R10" s="47"/>
      <c r="S10" s="56">
        <f t="shared" si="0"/>
        <v>7</v>
      </c>
      <c r="T10" s="50"/>
      <c r="U10" s="50"/>
      <c r="V10" s="50"/>
      <c r="W10" s="50"/>
      <c r="X10" s="50"/>
      <c r="Y10" s="50"/>
      <c r="Z10" s="51"/>
    </row>
    <row r="11" spans="1:26">
      <c r="A11" s="4" t="s">
        <v>64</v>
      </c>
      <c r="B11" s="10">
        <f>B9*I8*J8</f>
        <v>52020</v>
      </c>
      <c r="H11" s="39" t="s">
        <v>68</v>
      </c>
      <c r="I11" s="28">
        <v>0.51080000000000003</v>
      </c>
      <c r="J11" s="5">
        <v>2</v>
      </c>
      <c r="R11" s="47"/>
      <c r="S11" s="56">
        <f t="shared" si="0"/>
        <v>8</v>
      </c>
      <c r="T11" s="50"/>
      <c r="U11" s="50"/>
      <c r="V11" s="50">
        <v>1.05</v>
      </c>
      <c r="W11" s="50">
        <v>1.05</v>
      </c>
      <c r="X11" s="50"/>
      <c r="Y11" s="50"/>
      <c r="Z11" s="51"/>
    </row>
    <row r="12" spans="1:26">
      <c r="A12" s="2" t="s">
        <v>58</v>
      </c>
      <c r="B12" s="3" t="s">
        <v>91</v>
      </c>
      <c r="H12" s="39" t="s">
        <v>69</v>
      </c>
      <c r="I12" s="28">
        <v>0.25819999999999999</v>
      </c>
      <c r="J12" s="5">
        <v>4</v>
      </c>
      <c r="R12" s="47"/>
      <c r="S12" s="56">
        <f t="shared" si="0"/>
        <v>9</v>
      </c>
      <c r="T12" s="50"/>
      <c r="U12" s="50"/>
      <c r="V12" s="50">
        <v>1.05</v>
      </c>
      <c r="W12" s="50">
        <v>1.05</v>
      </c>
      <c r="X12" s="50"/>
      <c r="Y12" s="50"/>
      <c r="Z12" s="51"/>
    </row>
    <row r="13" spans="1:26" ht="13" thickBot="1">
      <c r="A13" s="2" t="s">
        <v>55</v>
      </c>
      <c r="B13" s="3" t="s">
        <v>87</v>
      </c>
      <c r="H13" s="40" t="s">
        <v>70</v>
      </c>
      <c r="I13" s="43">
        <v>8.6699999999999999E-2</v>
      </c>
      <c r="J13" s="7">
        <v>12</v>
      </c>
      <c r="R13" s="47"/>
      <c r="S13" s="56">
        <f t="shared" si="0"/>
        <v>10</v>
      </c>
      <c r="T13" s="50">
        <v>1.05</v>
      </c>
      <c r="U13" s="50">
        <v>1.05</v>
      </c>
      <c r="V13" s="50"/>
      <c r="W13" s="50"/>
      <c r="X13" s="50">
        <v>1.05</v>
      </c>
      <c r="Y13" s="50"/>
      <c r="Z13" s="51"/>
    </row>
    <row r="14" spans="1:26" ht="13" thickBot="1">
      <c r="A14" s="2" t="s">
        <v>59</v>
      </c>
      <c r="B14" s="3" t="s">
        <v>91</v>
      </c>
      <c r="R14" s="47"/>
      <c r="S14" s="56">
        <f t="shared" si="0"/>
        <v>11</v>
      </c>
      <c r="T14" s="50">
        <v>1.05</v>
      </c>
      <c r="U14" s="50">
        <v>1.05</v>
      </c>
      <c r="V14" s="50"/>
      <c r="W14" s="50"/>
      <c r="X14" s="50">
        <v>1.05</v>
      </c>
      <c r="Y14" s="50"/>
      <c r="Z14" s="51"/>
    </row>
    <row r="15" spans="1:26" ht="13" thickBot="1">
      <c r="A15" s="4" t="s">
        <v>89</v>
      </c>
      <c r="B15" s="10">
        <f ca="1">B9*D15*L15*I24</f>
        <v>912100</v>
      </c>
      <c r="D15" s="1">
        <f ca="1">OFFSET(IF(D2=1,MB!A2,IF(D2=2,MB!A49,MB!A96)),iAGE-17,Input!D7)</f>
        <v>18.242000000000001</v>
      </c>
      <c r="E15" s="118"/>
      <c r="H15" s="34" t="s">
        <v>74</v>
      </c>
      <c r="I15" s="35" t="str">
        <f>IF(VLOOKUP(B13,H16:K22,2,0)=0,"",VLOOKUP(B13,H16:K22,2,0))</f>
        <v>Yes</v>
      </c>
      <c r="J15" s="35" t="str">
        <f>IF(VLOOKUP(B13,H16:K22,3,0)=0,"",VLOOKUP(B13,H16:K22,3,0))</f>
        <v>No</v>
      </c>
      <c r="K15" s="35" t="str">
        <f>IF(VLOOKUP(B13,H16:K22,4,0)=0,"",VLOOKUP(B13,H16:K22,4,0))</f>
        <v/>
      </c>
      <c r="L15" s="94">
        <f>1+VLOOKUP(B13,H16:L22,5,0)</f>
        <v>1</v>
      </c>
      <c r="R15" s="47"/>
      <c r="S15" s="56">
        <f t="shared" si="0"/>
        <v>12</v>
      </c>
      <c r="T15" s="50"/>
      <c r="U15" s="50"/>
      <c r="V15" s="50"/>
      <c r="W15" s="50"/>
      <c r="X15" s="50"/>
      <c r="Y15" s="50"/>
      <c r="Z15" s="51"/>
    </row>
    <row r="16" spans="1:26">
      <c r="A16" s="4" t="s">
        <v>81</v>
      </c>
      <c r="B16" s="10">
        <f>B11*10</f>
        <v>520200</v>
      </c>
      <c r="H16" s="36" t="s">
        <v>87</v>
      </c>
      <c r="I16" s="37" t="s">
        <v>73</v>
      </c>
      <c r="J16" s="37" t="s">
        <v>91</v>
      </c>
      <c r="K16" s="37"/>
      <c r="L16" s="92" cm="1">
        <f t="array" ref="L16">IF(AND(B13=H16,B14=J16),0,INDEX(I35:K35,1,D2))</f>
        <v>0</v>
      </c>
      <c r="R16" s="47"/>
      <c r="S16" s="56">
        <f t="shared" si="0"/>
        <v>13</v>
      </c>
      <c r="T16" s="50"/>
      <c r="U16" s="50"/>
      <c r="V16" s="50">
        <v>1.05</v>
      </c>
      <c r="W16" s="50">
        <v>1.05</v>
      </c>
      <c r="X16" s="50"/>
      <c r="Y16" s="50"/>
      <c r="Z16" s="51"/>
    </row>
    <row r="17" spans="1:26">
      <c r="A17" s="4" t="s">
        <v>110</v>
      </c>
      <c r="B17" s="54">
        <f>IF(D2=1,10%,IF(D2=2,30%,105%))</f>
        <v>1.05</v>
      </c>
      <c r="H17" s="39" t="s">
        <v>76</v>
      </c>
      <c r="I17" s="8" t="s">
        <v>73</v>
      </c>
      <c r="J17" s="8" t="s">
        <v>91</v>
      </c>
      <c r="K17" s="8"/>
      <c r="L17" s="93" cm="1">
        <f t="array" ref="L17">IF(AND(B13=H17,B14=J17),0,INDEX(I36:K36,1,D2))</f>
        <v>8.5000000000000006E-2</v>
      </c>
      <c r="R17" s="47"/>
      <c r="S17" s="56">
        <f t="shared" si="0"/>
        <v>14</v>
      </c>
      <c r="T17" s="50"/>
      <c r="U17" s="50"/>
      <c r="V17" s="50">
        <v>1.05</v>
      </c>
      <c r="W17" s="50">
        <v>1.05</v>
      </c>
      <c r="X17" s="50"/>
      <c r="Y17" s="50"/>
      <c r="Z17" s="51"/>
    </row>
    <row r="18" spans="1:26">
      <c r="A18" s="4" t="s">
        <v>111</v>
      </c>
      <c r="B18" s="5">
        <f>IF(D2=1,1,IF(D2=2,iPRM_PP+1,iPRM_PP-2))</f>
        <v>10</v>
      </c>
      <c r="H18" s="39" t="s">
        <v>75</v>
      </c>
      <c r="I18" s="8" t="s">
        <v>92</v>
      </c>
      <c r="J18" s="8" t="s">
        <v>79</v>
      </c>
      <c r="K18" s="8" t="s">
        <v>91</v>
      </c>
      <c r="L18" s="93" t="b" cm="1">
        <f t="array" ref="L18">IF(B13=H18,IF(B14=I18,INDEX(I36:K36,1,D2),INDEX(I35:K35,1,D2)))</f>
        <v>0</v>
      </c>
      <c r="R18" s="47"/>
      <c r="S18" s="56">
        <f t="shared" si="0"/>
        <v>15</v>
      </c>
      <c r="T18" s="50"/>
      <c r="U18" s="50">
        <v>1.05</v>
      </c>
      <c r="V18" s="50"/>
      <c r="W18" s="50"/>
      <c r="X18" s="50">
        <v>1.05</v>
      </c>
      <c r="Y18" s="50"/>
      <c r="Z18" s="51"/>
    </row>
    <row r="19" spans="1:26">
      <c r="A19" s="4" t="s">
        <v>112</v>
      </c>
      <c r="B19" s="5">
        <f>IF(D2=3,5,1)</f>
        <v>5</v>
      </c>
      <c r="H19" s="39" t="s">
        <v>77</v>
      </c>
      <c r="I19" s="8"/>
      <c r="J19" s="8"/>
      <c r="K19" s="8"/>
      <c r="L19" s="45">
        <v>0</v>
      </c>
      <c r="R19" s="47"/>
      <c r="S19" s="56">
        <f t="shared" si="0"/>
        <v>16</v>
      </c>
      <c r="T19" s="50"/>
      <c r="U19" s="50">
        <v>1.05</v>
      </c>
      <c r="V19" s="50"/>
      <c r="W19" s="50"/>
      <c r="X19" s="50">
        <v>1.05</v>
      </c>
      <c r="Y19" s="50"/>
      <c r="Z19" s="51"/>
    </row>
    <row r="20" spans="1:26">
      <c r="A20" s="4" t="s">
        <v>113</v>
      </c>
      <c r="B20" s="45">
        <f>IF(D2=1,30%,IF(D2=2,10%,0))</f>
        <v>0</v>
      </c>
      <c r="H20" s="39" t="s">
        <v>88</v>
      </c>
      <c r="I20" s="8"/>
      <c r="J20" s="8"/>
      <c r="K20" s="8"/>
      <c r="L20" s="45">
        <v>0</v>
      </c>
      <c r="R20" s="47"/>
      <c r="S20" s="56">
        <f t="shared" si="0"/>
        <v>17</v>
      </c>
      <c r="T20" s="50"/>
      <c r="U20" s="50"/>
      <c r="V20" s="50"/>
      <c r="W20" s="50"/>
      <c r="X20" s="50"/>
      <c r="Y20" s="50"/>
      <c r="Z20" s="51"/>
    </row>
    <row r="21" spans="1:26">
      <c r="A21" s="4" t="s">
        <v>115</v>
      </c>
      <c r="B21" s="1">
        <f>IF(D2=3,0,Income_ST+1)</f>
        <v>0</v>
      </c>
      <c r="H21" s="39" t="s">
        <v>78</v>
      </c>
      <c r="I21" s="8"/>
      <c r="J21" s="8"/>
      <c r="K21" s="8"/>
      <c r="L21" s="45">
        <v>0</v>
      </c>
      <c r="R21" s="47"/>
      <c r="S21" s="56">
        <f t="shared" si="0"/>
        <v>18</v>
      </c>
      <c r="T21" s="50"/>
      <c r="U21" s="50"/>
      <c r="V21" s="50">
        <v>1.05</v>
      </c>
      <c r="W21" s="50">
        <v>1.05</v>
      </c>
      <c r="X21" s="50"/>
      <c r="Y21" s="50"/>
      <c r="Z21" s="51"/>
    </row>
    <row r="22" spans="1:26" ht="25.5" thickBot="1">
      <c r="A22" s="4" t="s">
        <v>114</v>
      </c>
      <c r="B22" s="5">
        <f>IF(D2=1,iPRM_PP,iBP)</f>
        <v>25</v>
      </c>
      <c r="H22" s="40" t="s">
        <v>90</v>
      </c>
      <c r="I22" s="41"/>
      <c r="J22" s="41"/>
      <c r="K22" s="41"/>
      <c r="L22" s="46">
        <v>0</v>
      </c>
      <c r="R22" s="47"/>
      <c r="S22" s="56">
        <f t="shared" si="0"/>
        <v>19</v>
      </c>
      <c r="T22" s="50"/>
      <c r="U22" s="50"/>
      <c r="V22" s="50">
        <v>1.05</v>
      </c>
      <c r="W22" s="50">
        <v>1.05</v>
      </c>
      <c r="X22" s="50"/>
      <c r="Y22" s="50"/>
      <c r="Z22" s="51"/>
    </row>
    <row r="23" spans="1:26">
      <c r="A23" s="4" t="s">
        <v>82</v>
      </c>
      <c r="B23" s="5">
        <f>ROUND(iPRM*I8+I8*IF(B12="No",1.5*SA/1000,0),0)</f>
        <v>4403</v>
      </c>
      <c r="R23" s="47"/>
      <c r="S23" s="56">
        <f t="shared" si="0"/>
        <v>20</v>
      </c>
      <c r="T23" s="50"/>
      <c r="U23" s="50"/>
      <c r="V23" s="50"/>
      <c r="W23" s="50"/>
      <c r="X23" s="50">
        <v>1.05</v>
      </c>
      <c r="Y23" s="50"/>
      <c r="Z23" s="51"/>
    </row>
    <row r="24" spans="1:26" ht="15" thickBot="1">
      <c r="A24" s="6" t="s">
        <v>85</v>
      </c>
      <c r="B24" s="9" t="s">
        <v>86</v>
      </c>
      <c r="H24" s="108" t="s">
        <v>124</v>
      </c>
      <c r="I24" s="95">
        <f>1+VLOOKUP(iPRM,H27:K29,MATCH(D2,H26:K26,0),TRUE)</f>
        <v>1</v>
      </c>
      <c r="J24"/>
      <c r="K24"/>
      <c r="L24"/>
      <c r="M24"/>
      <c r="R24" s="47"/>
      <c r="S24" s="56">
        <f t="shared" si="0"/>
        <v>21</v>
      </c>
      <c r="T24" s="50"/>
      <c r="U24" s="50"/>
      <c r="V24" s="50"/>
      <c r="W24" s="50"/>
      <c r="X24" s="50">
        <v>1.05</v>
      </c>
      <c r="Y24" s="50"/>
      <c r="Z24" s="51"/>
    </row>
    <row r="25" spans="1:26" ht="29">
      <c r="H25" s="109" t="s">
        <v>120</v>
      </c>
      <c r="I25" s="109" t="s">
        <v>106</v>
      </c>
      <c r="J25" s="109" t="s">
        <v>108</v>
      </c>
      <c r="K25" s="109" t="s">
        <v>105</v>
      </c>
      <c r="L25" s="97"/>
      <c r="M25" s="99"/>
      <c r="R25" s="47"/>
      <c r="S25" s="56">
        <f t="shared" si="0"/>
        <v>22</v>
      </c>
      <c r="T25" s="50"/>
      <c r="U25" s="50"/>
      <c r="V25" s="50"/>
      <c r="W25" s="50"/>
      <c r="X25" s="50"/>
      <c r="Y25" s="50"/>
      <c r="Z25" s="51"/>
    </row>
    <row r="26" spans="1:26" ht="14.5">
      <c r="H26" s="110"/>
      <c r="I26" s="115">
        <v>1</v>
      </c>
      <c r="J26" s="115">
        <v>2</v>
      </c>
      <c r="K26" s="115">
        <v>3</v>
      </c>
      <c r="L26" s="99"/>
      <c r="M26" s="99"/>
      <c r="R26" s="47"/>
      <c r="S26" s="56">
        <f t="shared" si="0"/>
        <v>23</v>
      </c>
      <c r="T26" s="50"/>
      <c r="U26" s="50"/>
      <c r="V26" s="50"/>
      <c r="W26" s="50">
        <v>1.05</v>
      </c>
      <c r="X26" s="50"/>
      <c r="Y26" s="50"/>
      <c r="Z26" s="51"/>
    </row>
    <row r="27" spans="1:26" ht="14.5">
      <c r="H27" s="116">
        <v>50000</v>
      </c>
      <c r="I27" s="117">
        <v>0</v>
      </c>
      <c r="J27" s="114">
        <v>0</v>
      </c>
      <c r="K27" s="114">
        <v>0</v>
      </c>
      <c r="L27" s="100"/>
      <c r="M27" s="100"/>
      <c r="R27" s="47"/>
      <c r="S27" s="56">
        <f>S26+1</f>
        <v>24</v>
      </c>
      <c r="T27" s="50"/>
      <c r="U27" s="50"/>
      <c r="V27" s="50"/>
      <c r="W27" s="50">
        <v>1.05</v>
      </c>
      <c r="X27" s="50"/>
      <c r="Y27" s="50"/>
      <c r="Z27" s="51"/>
    </row>
    <row r="28" spans="1:26" ht="14.5">
      <c r="H28" s="116">
        <v>100000</v>
      </c>
      <c r="I28" s="112">
        <v>0.03</v>
      </c>
      <c r="J28" s="113">
        <v>2.2499999999999999E-2</v>
      </c>
      <c r="K28" s="113">
        <v>3.2500000000000001E-2</v>
      </c>
      <c r="L28" s="100"/>
      <c r="M28" s="100"/>
      <c r="R28" s="47"/>
      <c r="S28" s="56">
        <f>S27+1</f>
        <v>25</v>
      </c>
      <c r="T28" s="50"/>
      <c r="U28" s="50"/>
      <c r="V28" s="50"/>
      <c r="W28" s="50"/>
      <c r="X28" s="50"/>
      <c r="Y28" s="50"/>
      <c r="Z28" s="51"/>
    </row>
    <row r="29" spans="1:26" ht="14.5">
      <c r="H29" s="116">
        <v>200000</v>
      </c>
      <c r="I29" s="112">
        <v>3.5000000000000003E-2</v>
      </c>
      <c r="J29" s="113">
        <v>0.03</v>
      </c>
      <c r="K29" s="113">
        <v>4.4999999999999998E-2</v>
      </c>
      <c r="L29" s="100"/>
      <c r="M29" s="100"/>
      <c r="R29" s="47"/>
      <c r="Y29" s="50"/>
      <c r="Z29" s="51"/>
    </row>
    <row r="30" spans="1:26" ht="14.5">
      <c r="H30" s="101"/>
      <c r="I30"/>
      <c r="J30"/>
      <c r="K30"/>
      <c r="L30"/>
      <c r="M30"/>
      <c r="R30" s="47"/>
      <c r="S30" s="50"/>
      <c r="T30" s="50"/>
      <c r="U30" s="50"/>
      <c r="V30" s="50"/>
      <c r="W30" s="50"/>
      <c r="X30" s="50"/>
      <c r="Y30" s="50"/>
      <c r="Z30" s="51"/>
    </row>
    <row r="31" spans="1:26" ht="14.5">
      <c r="I31"/>
      <c r="J31"/>
      <c r="K31"/>
      <c r="L31"/>
      <c r="M31"/>
      <c r="R31" s="47"/>
      <c r="S31" s="50"/>
      <c r="T31" s="50"/>
      <c r="U31" s="50"/>
      <c r="V31" s="50"/>
      <c r="W31" s="50"/>
      <c r="X31" s="50"/>
      <c r="Y31" s="50"/>
      <c r="Z31" s="51"/>
    </row>
    <row r="32" spans="1:26" ht="14.5">
      <c r="H32" s="102" t="s">
        <v>121</v>
      </c>
      <c r="I32"/>
      <c r="J32"/>
      <c r="K32"/>
      <c r="L32"/>
      <c r="M32"/>
      <c r="R32" s="47"/>
      <c r="S32" s="50"/>
      <c r="T32" s="50"/>
      <c r="U32" s="50"/>
      <c r="V32" s="50"/>
      <c r="W32" s="50"/>
      <c r="X32" s="50"/>
      <c r="Y32" s="50"/>
      <c r="Z32" s="51"/>
    </row>
    <row r="33" spans="8:26" ht="29">
      <c r="H33" s="109" t="s">
        <v>125</v>
      </c>
      <c r="I33" s="109" t="s">
        <v>106</v>
      </c>
      <c r="J33" s="109" t="s">
        <v>108</v>
      </c>
      <c r="K33" s="109" t="s">
        <v>105</v>
      </c>
      <c r="L33" s="97"/>
      <c r="M33" s="99"/>
      <c r="R33" s="47"/>
      <c r="S33" s="50"/>
      <c r="T33" s="50"/>
      <c r="U33" s="50"/>
      <c r="V33" s="50"/>
      <c r="W33" s="50"/>
      <c r="X33" s="50"/>
      <c r="Y33" s="50"/>
      <c r="Z33" s="51"/>
    </row>
    <row r="34" spans="8:26" ht="14.5">
      <c r="H34" s="110"/>
      <c r="I34" s="109">
        <v>1</v>
      </c>
      <c r="J34" s="109">
        <v>2</v>
      </c>
      <c r="K34" s="109">
        <v>3</v>
      </c>
      <c r="L34" s="99"/>
      <c r="M34" s="99"/>
      <c r="R34" s="47"/>
      <c r="S34" s="50"/>
      <c r="T34" s="50"/>
      <c r="U34" s="50"/>
      <c r="V34" s="50"/>
      <c r="W34" s="50"/>
      <c r="X34" s="50"/>
      <c r="Y34" s="50"/>
      <c r="Z34" s="51"/>
    </row>
    <row r="35" spans="8:26" ht="14.5">
      <c r="H35" s="111" t="s">
        <v>122</v>
      </c>
      <c r="I35" s="112">
        <v>4.2500000000000003E-2</v>
      </c>
      <c r="J35" s="113">
        <v>3.5000000000000003E-2</v>
      </c>
      <c r="K35" s="113">
        <v>4.2500000000000003E-2</v>
      </c>
      <c r="L35" s="103"/>
      <c r="M35" s="104"/>
      <c r="R35" s="47"/>
      <c r="S35" s="50"/>
      <c r="T35" s="50"/>
      <c r="U35" s="50"/>
      <c r="V35" s="50"/>
      <c r="W35" s="50"/>
      <c r="X35" s="50"/>
      <c r="Y35" s="50"/>
      <c r="Z35" s="51"/>
    </row>
    <row r="36" spans="8:26" ht="14.5">
      <c r="H36" s="111" t="s">
        <v>123</v>
      </c>
      <c r="I36" s="112">
        <v>8.5000000000000006E-2</v>
      </c>
      <c r="J36" s="114">
        <v>7.0000000000000007E-2</v>
      </c>
      <c r="K36" s="113">
        <v>8.5000000000000006E-2</v>
      </c>
      <c r="L36" s="103"/>
      <c r="M36" s="103"/>
      <c r="R36" s="47"/>
      <c r="S36" s="50"/>
      <c r="T36" s="50"/>
      <c r="U36" s="50"/>
      <c r="V36" s="50"/>
      <c r="W36" s="50"/>
      <c r="X36" s="50"/>
      <c r="Y36" s="50"/>
      <c r="Z36" s="51"/>
    </row>
    <row r="37" spans="8:26" ht="14.5">
      <c r="I37" s="103"/>
      <c r="J37" s="104"/>
      <c r="K37" s="103"/>
      <c r="L37" s="103"/>
      <c r="M37" s="103"/>
      <c r="R37" s="47"/>
      <c r="S37" s="50"/>
      <c r="T37" s="50"/>
      <c r="U37" s="50"/>
      <c r="V37" s="50"/>
      <c r="W37" s="50"/>
      <c r="X37" s="50"/>
      <c r="Y37" s="50"/>
      <c r="Z37" s="51"/>
    </row>
    <row r="38" spans="8:26" ht="14.5">
      <c r="H38" s="102"/>
      <c r="I38"/>
      <c r="J38"/>
      <c r="K38"/>
      <c r="L38"/>
      <c r="M38"/>
      <c r="R38" s="47"/>
      <c r="S38" s="50"/>
      <c r="T38" s="50"/>
      <c r="U38" s="50"/>
      <c r="V38" s="50"/>
      <c r="W38" s="50"/>
      <c r="X38" s="50"/>
      <c r="Y38" s="50"/>
      <c r="Z38" s="51"/>
    </row>
    <row r="39" spans="8:26" ht="14.5">
      <c r="H39" s="102"/>
      <c r="I39"/>
      <c r="J39"/>
      <c r="K39"/>
      <c r="L39"/>
      <c r="M39"/>
      <c r="R39" s="47"/>
      <c r="S39" s="50"/>
      <c r="T39" s="50"/>
      <c r="U39" s="50"/>
      <c r="V39" s="50"/>
      <c r="W39" s="50"/>
      <c r="X39" s="50"/>
      <c r="Y39" s="50"/>
      <c r="Z39" s="51"/>
    </row>
    <row r="40" spans="8:26" ht="14.5">
      <c r="H40" s="96"/>
      <c r="I40" s="97"/>
      <c r="J40" s="97"/>
      <c r="K40" s="97"/>
      <c r="L40" s="97"/>
      <c r="M40" s="99"/>
      <c r="R40" s="47"/>
      <c r="S40" s="50"/>
      <c r="T40" s="50"/>
      <c r="U40" s="50"/>
      <c r="V40" s="50"/>
      <c r="W40" s="50"/>
      <c r="X40" s="50"/>
      <c r="Y40" s="50"/>
      <c r="Z40" s="51"/>
    </row>
    <row r="41" spans="8:26" ht="14.5">
      <c r="H41" s="98"/>
      <c r="I41" s="99"/>
      <c r="J41" s="99"/>
      <c r="K41" s="99"/>
      <c r="L41" s="99"/>
      <c r="M41" s="99"/>
      <c r="R41" s="47"/>
      <c r="S41" s="50"/>
      <c r="T41" s="50"/>
      <c r="U41" s="50"/>
      <c r="V41" s="50"/>
      <c r="W41" s="50"/>
      <c r="X41" s="50"/>
      <c r="Y41" s="50"/>
      <c r="Z41" s="51"/>
    </row>
    <row r="42" spans="8:26" ht="14.5">
      <c r="I42" s="103"/>
      <c r="J42" s="103"/>
      <c r="K42" s="104"/>
      <c r="L42" s="103"/>
      <c r="M42" s="104"/>
      <c r="R42" s="47"/>
      <c r="S42" s="50"/>
      <c r="T42" s="50"/>
      <c r="U42" s="50"/>
      <c r="V42" s="50"/>
      <c r="W42" s="50"/>
      <c r="X42" s="50"/>
      <c r="Y42" s="50"/>
      <c r="Z42" s="51"/>
    </row>
    <row r="43" spans="8:26" ht="14.5">
      <c r="I43" s="104"/>
      <c r="J43" s="103"/>
      <c r="K43" s="104"/>
      <c r="L43" s="103"/>
      <c r="M43" s="103"/>
      <c r="R43" s="47"/>
      <c r="S43" s="50"/>
      <c r="T43" s="50"/>
      <c r="U43" s="50"/>
      <c r="V43" s="50"/>
      <c r="W43" s="50"/>
      <c r="X43" s="50"/>
      <c r="Y43" s="50"/>
      <c r="Z43" s="51"/>
    </row>
    <row r="44" spans="8:26" ht="14.5">
      <c r="I44" s="103"/>
      <c r="J44" s="104"/>
      <c r="K44" s="103"/>
      <c r="L44" s="104"/>
      <c r="M44" s="103"/>
      <c r="R44" s="47"/>
      <c r="S44" s="50"/>
      <c r="T44" s="50"/>
      <c r="U44" s="50"/>
      <c r="V44" s="50"/>
      <c r="W44" s="50"/>
      <c r="X44" s="50"/>
      <c r="Y44" s="50"/>
      <c r="Z44" s="51"/>
    </row>
    <row r="45" spans="8:26">
      <c r="R45" s="47"/>
      <c r="S45" s="50"/>
      <c r="T45" s="50"/>
      <c r="U45" s="50"/>
      <c r="V45" s="50"/>
      <c r="W45" s="50"/>
      <c r="X45" s="50"/>
      <c r="Y45" s="50"/>
      <c r="Z45" s="51"/>
    </row>
    <row r="46" spans="8:26">
      <c r="R46" s="47"/>
      <c r="S46" s="50"/>
      <c r="T46" s="50"/>
      <c r="U46" s="50"/>
      <c r="V46" s="50"/>
      <c r="W46" s="50"/>
      <c r="X46" s="50"/>
      <c r="Y46" s="50"/>
      <c r="Z46" s="51"/>
    </row>
    <row r="47" spans="8:26">
      <c r="R47" s="47"/>
      <c r="S47" s="50"/>
      <c r="T47" s="50"/>
      <c r="U47" s="50"/>
      <c r="V47" s="50"/>
      <c r="W47" s="50"/>
      <c r="X47" s="50"/>
      <c r="Y47" s="50"/>
      <c r="Z47" s="51"/>
    </row>
    <row r="48" spans="8:26">
      <c r="R48" s="47"/>
      <c r="S48" s="50"/>
      <c r="T48" s="50"/>
      <c r="U48" s="50"/>
      <c r="V48" s="50"/>
      <c r="W48" s="50"/>
      <c r="X48" s="50"/>
      <c r="Y48" s="50"/>
      <c r="Z48" s="51"/>
    </row>
    <row r="49" spans="18:26">
      <c r="R49" s="47"/>
      <c r="S49" s="50"/>
      <c r="T49" s="50"/>
      <c r="U49" s="50"/>
      <c r="V49" s="50"/>
      <c r="W49" s="50"/>
      <c r="X49" s="50"/>
      <c r="Y49" s="50"/>
      <c r="Z49" s="51"/>
    </row>
    <row r="50" spans="18:26">
      <c r="R50" s="47"/>
      <c r="S50" s="50"/>
      <c r="T50" s="50"/>
      <c r="U50" s="50"/>
      <c r="V50" s="50"/>
      <c r="W50" s="50"/>
      <c r="X50" s="50"/>
      <c r="Y50" s="50"/>
      <c r="Z50" s="51"/>
    </row>
    <row r="51" spans="18:26">
      <c r="R51" s="47"/>
      <c r="S51" s="50"/>
      <c r="T51" s="50"/>
      <c r="U51" s="50"/>
      <c r="V51" s="50"/>
      <c r="W51" s="50"/>
      <c r="X51" s="50"/>
      <c r="Y51" s="50"/>
      <c r="Z51" s="51"/>
    </row>
    <row r="52" spans="18:26">
      <c r="R52" s="47"/>
      <c r="S52" s="50"/>
      <c r="T52" s="50"/>
      <c r="U52" s="50"/>
      <c r="V52" s="50"/>
      <c r="W52" s="50"/>
      <c r="X52" s="50"/>
      <c r="Y52" s="50"/>
      <c r="Z52" s="51"/>
    </row>
    <row r="53" spans="18:26">
      <c r="R53" s="47"/>
      <c r="S53" s="50"/>
      <c r="T53" s="50"/>
      <c r="U53" s="50"/>
      <c r="V53" s="50"/>
      <c r="W53" s="50"/>
      <c r="X53" s="50"/>
      <c r="Y53" s="50"/>
      <c r="Z53" s="51"/>
    </row>
    <row r="54" spans="18:26">
      <c r="R54" s="47"/>
      <c r="S54" s="50"/>
      <c r="T54" s="50"/>
      <c r="U54" s="50"/>
      <c r="V54" s="50"/>
      <c r="W54" s="50"/>
      <c r="X54" s="50"/>
      <c r="Y54" s="50"/>
      <c r="Z54" s="51"/>
    </row>
    <row r="55" spans="18:26">
      <c r="R55" s="47"/>
      <c r="S55" s="50"/>
      <c r="T55" s="50"/>
      <c r="U55" s="50"/>
      <c r="V55" s="50"/>
      <c r="W55" s="50"/>
      <c r="X55" s="50"/>
      <c r="Y55" s="50"/>
      <c r="Z55" s="51"/>
    </row>
    <row r="56" spans="18:26">
      <c r="R56" s="47"/>
      <c r="S56" s="50"/>
      <c r="T56" s="50"/>
      <c r="U56" s="50"/>
      <c r="V56" s="50"/>
      <c r="W56" s="50"/>
      <c r="X56" s="50"/>
      <c r="Y56" s="50"/>
      <c r="Z56" s="51"/>
    </row>
    <row r="57" spans="18:26">
      <c r="R57" s="47"/>
      <c r="S57" s="50"/>
      <c r="T57" s="50"/>
      <c r="U57" s="50"/>
      <c r="V57" s="50"/>
      <c r="W57" s="50"/>
      <c r="X57" s="50"/>
      <c r="Y57" s="50"/>
      <c r="Z57" s="51"/>
    </row>
    <row r="58" spans="18:26">
      <c r="R58" s="47"/>
      <c r="S58" s="50"/>
      <c r="T58" s="50"/>
      <c r="U58" s="50"/>
      <c r="V58" s="50"/>
      <c r="W58" s="50"/>
      <c r="X58" s="50"/>
      <c r="Y58" s="50"/>
      <c r="Z58" s="51"/>
    </row>
    <row r="59" spans="18:26">
      <c r="R59" s="47"/>
      <c r="S59" s="50"/>
      <c r="T59" s="50"/>
      <c r="U59" s="50"/>
      <c r="V59" s="50"/>
      <c r="W59" s="50"/>
      <c r="X59" s="50"/>
      <c r="Y59" s="50"/>
      <c r="Z59" s="51"/>
    </row>
    <row r="60" spans="18:26">
      <c r="R60" s="47"/>
      <c r="S60" s="50"/>
      <c r="T60" s="50"/>
      <c r="U60" s="50"/>
      <c r="V60" s="50"/>
      <c r="W60" s="50"/>
      <c r="X60" s="50"/>
      <c r="Y60" s="50"/>
      <c r="Z60" s="51"/>
    </row>
    <row r="61" spans="18:26">
      <c r="R61" s="47"/>
      <c r="S61" s="50"/>
      <c r="T61" s="50"/>
      <c r="U61" s="50"/>
      <c r="V61" s="50"/>
      <c r="W61" s="50"/>
      <c r="X61" s="50"/>
      <c r="Y61" s="50"/>
      <c r="Z61" s="51"/>
    </row>
    <row r="62" spans="18:26">
      <c r="R62" s="47"/>
      <c r="S62" s="50"/>
      <c r="T62" s="50"/>
      <c r="U62" s="50"/>
      <c r="V62" s="50"/>
      <c r="W62" s="50"/>
      <c r="X62" s="50"/>
      <c r="Y62" s="50"/>
      <c r="Z62" s="51"/>
    </row>
    <row r="63" spans="18:26">
      <c r="R63" s="47"/>
      <c r="S63" s="50"/>
      <c r="T63" s="50"/>
      <c r="U63" s="50"/>
      <c r="V63" s="50"/>
      <c r="W63" s="50"/>
      <c r="X63" s="50"/>
      <c r="Y63" s="50"/>
      <c r="Z63" s="51"/>
    </row>
    <row r="64" spans="18:26">
      <c r="R64" s="47"/>
      <c r="S64" s="50"/>
      <c r="T64" s="50"/>
      <c r="U64" s="50"/>
      <c r="V64" s="50"/>
      <c r="W64" s="50"/>
      <c r="X64" s="50"/>
      <c r="Y64" s="50"/>
      <c r="Z64" s="51"/>
    </row>
    <row r="65" spans="18:26">
      <c r="R65" s="47"/>
      <c r="S65" s="50"/>
      <c r="T65" s="50"/>
      <c r="U65" s="50"/>
      <c r="V65" s="50"/>
      <c r="W65" s="50"/>
      <c r="X65" s="50"/>
      <c r="Y65" s="50"/>
      <c r="Z65" s="51"/>
    </row>
    <row r="66" spans="18:26">
      <c r="R66" s="47"/>
      <c r="S66" s="50"/>
      <c r="T66" s="50"/>
      <c r="U66" s="50"/>
      <c r="V66" s="50"/>
      <c r="W66" s="50"/>
      <c r="X66" s="50"/>
      <c r="Y66" s="50"/>
      <c r="Z66" s="51"/>
    </row>
    <row r="67" spans="18:26">
      <c r="R67" s="47"/>
      <c r="S67" s="50"/>
      <c r="T67" s="50"/>
      <c r="U67" s="50"/>
      <c r="V67" s="50"/>
      <c r="W67" s="50"/>
      <c r="X67" s="50"/>
      <c r="Y67" s="50"/>
      <c r="Z67" s="51"/>
    </row>
    <row r="68" spans="18:26">
      <c r="R68" s="47"/>
      <c r="S68" s="50"/>
      <c r="T68" s="50"/>
      <c r="U68" s="50"/>
      <c r="V68" s="50"/>
      <c r="W68" s="50"/>
      <c r="X68" s="50"/>
      <c r="Y68" s="50"/>
      <c r="Z68" s="51"/>
    </row>
    <row r="69" spans="18:26">
      <c r="R69" s="47"/>
      <c r="S69" s="50"/>
      <c r="T69" s="50"/>
      <c r="U69" s="50"/>
      <c r="V69" s="50"/>
      <c r="W69" s="50"/>
      <c r="X69" s="50"/>
      <c r="Y69" s="50"/>
      <c r="Z69" s="51"/>
    </row>
    <row r="70" spans="18:26">
      <c r="R70" s="47"/>
      <c r="S70" s="50"/>
      <c r="T70" s="50"/>
      <c r="U70" s="50"/>
      <c r="V70" s="50"/>
      <c r="W70" s="50"/>
      <c r="X70" s="50"/>
      <c r="Y70" s="50"/>
      <c r="Z70" s="51"/>
    </row>
    <row r="71" spans="18:26">
      <c r="R71" s="47"/>
      <c r="S71" s="50"/>
      <c r="T71" s="50"/>
      <c r="U71" s="50"/>
      <c r="V71" s="50"/>
      <c r="W71" s="50"/>
      <c r="X71" s="50"/>
      <c r="Y71" s="50"/>
      <c r="Z71" s="51"/>
    </row>
    <row r="72" spans="18:26">
      <c r="R72" s="47"/>
      <c r="S72" s="50"/>
      <c r="T72" s="50"/>
      <c r="U72" s="50"/>
      <c r="V72" s="50"/>
      <c r="W72" s="50"/>
      <c r="X72" s="50"/>
      <c r="Y72" s="50"/>
      <c r="Z72" s="51"/>
    </row>
    <row r="73" spans="18:26">
      <c r="R73" s="47"/>
      <c r="S73" s="50"/>
      <c r="T73" s="50"/>
      <c r="U73" s="50"/>
      <c r="V73" s="50"/>
      <c r="W73" s="50"/>
      <c r="X73" s="50"/>
      <c r="Y73" s="50"/>
      <c r="Z73" s="51"/>
    </row>
    <row r="74" spans="18:26">
      <c r="R74" s="47"/>
      <c r="S74" s="50"/>
      <c r="T74" s="50"/>
      <c r="U74" s="50"/>
      <c r="V74" s="50"/>
      <c r="W74" s="50"/>
      <c r="X74" s="50"/>
      <c r="Y74" s="50"/>
      <c r="Z74" s="51"/>
    </row>
    <row r="75" spans="18:26">
      <c r="R75" s="47"/>
      <c r="S75" s="50"/>
      <c r="T75" s="50"/>
      <c r="U75" s="50"/>
      <c r="V75" s="50"/>
      <c r="W75" s="50"/>
      <c r="X75" s="50"/>
      <c r="Y75" s="50"/>
      <c r="Z75" s="51"/>
    </row>
    <row r="76" spans="18:26">
      <c r="R76" s="47"/>
      <c r="S76" s="50"/>
      <c r="T76" s="50"/>
      <c r="U76" s="50"/>
      <c r="V76" s="50"/>
      <c r="W76" s="50"/>
      <c r="X76" s="50"/>
      <c r="Y76" s="50"/>
      <c r="Z76" s="51"/>
    </row>
    <row r="77" spans="18:26">
      <c r="R77" s="47"/>
      <c r="S77" s="50"/>
      <c r="T77" s="50"/>
      <c r="U77" s="50"/>
      <c r="V77" s="50"/>
      <c r="W77" s="50"/>
      <c r="X77" s="50"/>
      <c r="Y77" s="50"/>
      <c r="Z77" s="51"/>
    </row>
    <row r="78" spans="18:26">
      <c r="R78" s="47"/>
      <c r="S78" s="50"/>
      <c r="T78" s="50"/>
      <c r="U78" s="50"/>
      <c r="V78" s="50"/>
      <c r="W78" s="50"/>
      <c r="X78" s="50"/>
      <c r="Y78" s="50"/>
      <c r="Z78" s="51"/>
    </row>
    <row r="79" spans="18:26">
      <c r="R79" s="47"/>
      <c r="S79" s="50"/>
      <c r="T79" s="50"/>
      <c r="U79" s="50"/>
      <c r="V79" s="50"/>
      <c r="W79" s="50"/>
      <c r="X79" s="50"/>
      <c r="Y79" s="50"/>
      <c r="Z79" s="51"/>
    </row>
    <row r="80" spans="18:26">
      <c r="R80" s="47"/>
      <c r="S80" s="50"/>
      <c r="T80" s="50"/>
      <c r="U80" s="50"/>
      <c r="V80" s="50"/>
      <c r="W80" s="50"/>
      <c r="X80" s="50"/>
      <c r="Y80" s="50"/>
      <c r="Z80" s="51"/>
    </row>
    <row r="81" spans="18:26">
      <c r="R81" s="47"/>
      <c r="S81" s="50"/>
      <c r="T81" s="50"/>
      <c r="U81" s="50"/>
      <c r="V81" s="50"/>
      <c r="W81" s="50"/>
      <c r="X81" s="50"/>
      <c r="Y81" s="50"/>
      <c r="Z81" s="51"/>
    </row>
    <row r="82" spans="18:26">
      <c r="R82" s="47"/>
      <c r="S82" s="50"/>
      <c r="T82" s="50"/>
      <c r="U82" s="50"/>
      <c r="V82" s="50"/>
      <c r="W82" s="50"/>
      <c r="X82" s="50"/>
      <c r="Y82" s="50"/>
      <c r="Z82" s="51"/>
    </row>
    <row r="83" spans="18:26">
      <c r="R83" s="47"/>
      <c r="S83" s="50"/>
      <c r="T83" s="50"/>
      <c r="U83" s="50"/>
      <c r="V83" s="50"/>
      <c r="W83" s="50"/>
      <c r="X83" s="50"/>
      <c r="Y83" s="50"/>
      <c r="Z83" s="51"/>
    </row>
    <row r="84" spans="18:26">
      <c r="R84" s="47"/>
      <c r="S84" s="50"/>
      <c r="T84" s="50"/>
      <c r="U84" s="50"/>
      <c r="V84" s="50"/>
      <c r="W84" s="50"/>
      <c r="X84" s="50"/>
      <c r="Y84" s="50"/>
      <c r="Z84" s="51"/>
    </row>
    <row r="85" spans="18:26">
      <c r="R85" s="47"/>
      <c r="S85" s="50"/>
      <c r="T85" s="50"/>
      <c r="U85" s="50"/>
      <c r="V85" s="50"/>
      <c r="W85" s="50"/>
      <c r="X85" s="50"/>
      <c r="Y85" s="50"/>
      <c r="Z85" s="51"/>
    </row>
    <row r="86" spans="18:26">
      <c r="R86" s="47"/>
      <c r="S86" s="50"/>
      <c r="T86" s="50"/>
      <c r="U86" s="50"/>
      <c r="V86" s="50"/>
      <c r="W86" s="50"/>
      <c r="X86" s="50"/>
      <c r="Y86" s="50"/>
      <c r="Z86" s="51"/>
    </row>
    <row r="87" spans="18:26">
      <c r="R87" s="47"/>
      <c r="S87" s="50"/>
      <c r="T87" s="50"/>
      <c r="U87" s="50"/>
      <c r="V87" s="50"/>
      <c r="W87" s="50"/>
      <c r="X87" s="50"/>
      <c r="Y87" s="50"/>
      <c r="Z87" s="51"/>
    </row>
    <row r="88" spans="18:26">
      <c r="R88" s="47"/>
      <c r="S88" s="50"/>
      <c r="T88" s="50"/>
      <c r="U88" s="50"/>
      <c r="V88" s="50"/>
      <c r="W88" s="50"/>
      <c r="X88" s="50"/>
      <c r="Y88" s="50"/>
      <c r="Z88" s="51"/>
    </row>
    <row r="89" spans="18:26">
      <c r="R89" s="47"/>
      <c r="S89" s="50"/>
      <c r="T89" s="50"/>
      <c r="U89" s="50"/>
      <c r="V89" s="50"/>
      <c r="W89" s="50"/>
      <c r="X89" s="50"/>
      <c r="Y89" s="50"/>
      <c r="Z89" s="51"/>
    </row>
    <row r="90" spans="18:26">
      <c r="R90" s="47"/>
      <c r="S90" s="50"/>
      <c r="T90" s="50"/>
      <c r="U90" s="50"/>
      <c r="V90" s="50"/>
      <c r="W90" s="50"/>
      <c r="X90" s="50"/>
      <c r="Y90" s="50"/>
      <c r="Z90" s="51"/>
    </row>
    <row r="91" spans="18:26">
      <c r="R91" s="47"/>
      <c r="S91" s="50"/>
      <c r="T91" s="50"/>
      <c r="U91" s="50"/>
      <c r="V91" s="50"/>
      <c r="W91" s="50"/>
      <c r="X91" s="50"/>
      <c r="Y91" s="50"/>
      <c r="Z91" s="51"/>
    </row>
    <row r="92" spans="18:26">
      <c r="R92" s="47"/>
      <c r="S92" s="50"/>
      <c r="T92" s="50"/>
      <c r="U92" s="50"/>
      <c r="V92" s="50"/>
      <c r="W92" s="50"/>
      <c r="X92" s="50"/>
      <c r="Y92" s="50"/>
      <c r="Z92" s="51"/>
    </row>
    <row r="93" spans="18:26">
      <c r="R93" s="47"/>
      <c r="S93" s="50"/>
      <c r="T93" s="50"/>
      <c r="U93" s="50"/>
      <c r="V93" s="50"/>
      <c r="W93" s="50"/>
      <c r="X93" s="50"/>
      <c r="Y93" s="50"/>
      <c r="Z93" s="51"/>
    </row>
    <row r="94" spans="18:26">
      <c r="R94" s="47"/>
      <c r="S94" s="50"/>
      <c r="T94" s="50"/>
      <c r="U94" s="50"/>
      <c r="V94" s="50"/>
      <c r="W94" s="50"/>
      <c r="X94" s="50"/>
      <c r="Y94" s="50"/>
      <c r="Z94" s="51"/>
    </row>
    <row r="95" spans="18:26">
      <c r="R95" s="47"/>
      <c r="S95" s="50"/>
      <c r="T95" s="50"/>
      <c r="U95" s="50"/>
      <c r="V95" s="50"/>
      <c r="W95" s="50"/>
      <c r="X95" s="50"/>
      <c r="Y95" s="50"/>
      <c r="Z95" s="51"/>
    </row>
    <row r="96" spans="18:26">
      <c r="R96" s="47"/>
      <c r="S96" s="50"/>
      <c r="T96" s="50"/>
      <c r="U96" s="50"/>
      <c r="V96" s="50"/>
      <c r="W96" s="50"/>
      <c r="X96" s="50"/>
      <c r="Y96" s="50"/>
      <c r="Z96" s="51"/>
    </row>
    <row r="97" spans="18:26">
      <c r="R97" s="47"/>
      <c r="S97" s="50"/>
      <c r="T97" s="50"/>
      <c r="U97" s="50"/>
      <c r="V97" s="50"/>
      <c r="W97" s="50"/>
      <c r="X97" s="50"/>
      <c r="Y97" s="50"/>
      <c r="Z97" s="51"/>
    </row>
    <row r="98" spans="18:26">
      <c r="R98" s="47"/>
      <c r="S98" s="50"/>
      <c r="T98" s="50"/>
      <c r="U98" s="50"/>
      <c r="V98" s="50"/>
      <c r="W98" s="50"/>
      <c r="X98" s="50"/>
      <c r="Y98" s="50"/>
      <c r="Z98" s="51"/>
    </row>
    <row r="99" spans="18:26">
      <c r="R99" s="47"/>
      <c r="S99" s="50"/>
      <c r="T99" s="50"/>
      <c r="U99" s="50"/>
      <c r="V99" s="50"/>
      <c r="W99" s="50"/>
      <c r="X99" s="50"/>
      <c r="Y99" s="50"/>
      <c r="Z99" s="51"/>
    </row>
    <row r="100" spans="18:26">
      <c r="R100" s="47"/>
      <c r="S100" s="50"/>
      <c r="T100" s="50"/>
      <c r="U100" s="50"/>
      <c r="V100" s="50"/>
      <c r="W100" s="50"/>
      <c r="X100" s="50"/>
      <c r="Y100" s="50"/>
      <c r="Z100" s="51"/>
    </row>
    <row r="101" spans="18:26">
      <c r="R101" s="47"/>
      <c r="S101" s="50"/>
      <c r="T101" s="50"/>
      <c r="U101" s="50"/>
      <c r="V101" s="50"/>
      <c r="W101" s="50"/>
      <c r="X101" s="50"/>
      <c r="Y101" s="50"/>
      <c r="Z101" s="51"/>
    </row>
    <row r="102" spans="18:26">
      <c r="R102" s="47"/>
      <c r="S102" s="50"/>
      <c r="T102" s="50"/>
      <c r="U102" s="50"/>
      <c r="V102" s="50"/>
      <c r="W102" s="50"/>
      <c r="X102" s="50"/>
      <c r="Y102" s="50"/>
      <c r="Z102" s="51"/>
    </row>
    <row r="103" spans="18:26">
      <c r="R103" s="47"/>
      <c r="S103" s="50"/>
      <c r="T103" s="50"/>
      <c r="U103" s="50"/>
      <c r="V103" s="50"/>
      <c r="W103" s="50"/>
      <c r="X103" s="50"/>
      <c r="Y103" s="50"/>
      <c r="Z103" s="51"/>
    </row>
    <row r="104" spans="18:26">
      <c r="R104" s="47"/>
      <c r="S104" s="50"/>
      <c r="T104" s="50"/>
      <c r="U104" s="50"/>
      <c r="V104" s="50"/>
      <c r="W104" s="50"/>
      <c r="X104" s="50"/>
      <c r="Y104" s="50"/>
      <c r="Z104" s="51"/>
    </row>
    <row r="105" spans="18:26">
      <c r="R105" s="47"/>
      <c r="S105" s="50"/>
      <c r="T105" s="50"/>
      <c r="U105" s="50"/>
      <c r="V105" s="50"/>
      <c r="W105" s="50"/>
      <c r="X105" s="50"/>
      <c r="Y105" s="50"/>
      <c r="Z105" s="51"/>
    </row>
    <row r="106" spans="18:26">
      <c r="R106" s="47"/>
      <c r="S106" s="50"/>
      <c r="T106" s="50"/>
      <c r="U106" s="50"/>
      <c r="V106" s="50"/>
      <c r="W106" s="50"/>
      <c r="X106" s="50"/>
      <c r="Y106" s="50"/>
      <c r="Z106" s="51"/>
    </row>
    <row r="107" spans="18:26">
      <c r="R107" s="47"/>
      <c r="S107" s="50"/>
      <c r="T107" s="50"/>
      <c r="U107" s="50"/>
      <c r="V107" s="50"/>
      <c r="W107" s="50"/>
      <c r="X107" s="50"/>
      <c r="Y107" s="50"/>
      <c r="Z107" s="51"/>
    </row>
    <row r="108" spans="18:26">
      <c r="R108" s="47"/>
      <c r="S108" s="50"/>
      <c r="T108" s="50"/>
      <c r="U108" s="50"/>
      <c r="V108" s="50"/>
      <c r="W108" s="50"/>
      <c r="X108" s="50"/>
      <c r="Y108" s="50"/>
      <c r="Z108" s="51"/>
    </row>
    <row r="109" spans="18:26">
      <c r="R109" s="47"/>
      <c r="S109" s="50"/>
      <c r="T109" s="50"/>
      <c r="U109" s="50"/>
      <c r="V109" s="50"/>
      <c r="W109" s="50"/>
      <c r="X109" s="50"/>
      <c r="Y109" s="50"/>
      <c r="Z109" s="51"/>
    </row>
    <row r="110" spans="18:26">
      <c r="R110" s="47"/>
      <c r="S110" s="50"/>
      <c r="T110" s="50"/>
      <c r="U110" s="50"/>
      <c r="V110" s="50"/>
      <c r="W110" s="50"/>
      <c r="X110" s="50"/>
      <c r="Y110" s="50"/>
      <c r="Z110" s="51"/>
    </row>
    <row r="111" spans="18:26">
      <c r="R111" s="47"/>
      <c r="S111" s="50"/>
      <c r="T111" s="50"/>
      <c r="U111" s="50"/>
      <c r="V111" s="50"/>
      <c r="W111" s="50"/>
      <c r="X111" s="50"/>
      <c r="Y111" s="50"/>
      <c r="Z111" s="51"/>
    </row>
    <row r="112" spans="18:26">
      <c r="R112" s="47"/>
      <c r="S112" s="50"/>
      <c r="T112" s="50"/>
      <c r="U112" s="50"/>
      <c r="V112" s="50"/>
      <c r="W112" s="50"/>
      <c r="X112" s="50"/>
      <c r="Y112" s="50"/>
      <c r="Z112" s="51"/>
    </row>
    <row r="113" spans="18:26">
      <c r="R113" s="47"/>
      <c r="S113" s="50"/>
      <c r="T113" s="50"/>
      <c r="U113" s="50"/>
      <c r="V113" s="50"/>
      <c r="W113" s="50"/>
      <c r="X113" s="50"/>
      <c r="Y113" s="50"/>
      <c r="Z113" s="51"/>
    </row>
    <row r="114" spans="18:26">
      <c r="R114" s="47"/>
      <c r="S114" s="50"/>
      <c r="T114" s="50"/>
      <c r="U114" s="50"/>
      <c r="V114" s="50"/>
      <c r="W114" s="50"/>
      <c r="X114" s="50"/>
      <c r="Y114" s="50"/>
      <c r="Z114" s="51"/>
    </row>
    <row r="115" spans="18:26">
      <c r="R115" s="47"/>
      <c r="S115" s="50"/>
      <c r="T115" s="50"/>
      <c r="U115" s="50"/>
      <c r="V115" s="50"/>
      <c r="W115" s="50"/>
      <c r="X115" s="50"/>
      <c r="Y115" s="50"/>
      <c r="Z115" s="51"/>
    </row>
    <row r="116" spans="18:26">
      <c r="R116" s="47"/>
      <c r="S116" s="50"/>
      <c r="T116" s="50"/>
      <c r="U116" s="50"/>
      <c r="V116" s="50"/>
      <c r="W116" s="50"/>
      <c r="X116" s="50"/>
      <c r="Y116" s="50"/>
      <c r="Z116" s="51"/>
    </row>
    <row r="117" spans="18:26">
      <c r="R117" s="47"/>
      <c r="S117" s="50"/>
      <c r="T117" s="50"/>
      <c r="U117" s="50"/>
      <c r="V117" s="50"/>
      <c r="W117" s="50"/>
      <c r="X117" s="50"/>
      <c r="Y117" s="50"/>
      <c r="Z117" s="51"/>
    </row>
    <row r="118" spans="18:26">
      <c r="R118" s="47"/>
      <c r="S118" s="50"/>
      <c r="T118" s="50"/>
      <c r="U118" s="50"/>
      <c r="V118" s="50"/>
      <c r="W118" s="50"/>
      <c r="X118" s="50"/>
      <c r="Y118" s="50"/>
      <c r="Z118" s="51"/>
    </row>
    <row r="119" spans="18:26">
      <c r="R119" s="47"/>
      <c r="S119" s="50"/>
      <c r="T119" s="50"/>
      <c r="U119" s="50"/>
      <c r="V119" s="50"/>
      <c r="W119" s="50"/>
      <c r="X119" s="50"/>
      <c r="Y119" s="50"/>
      <c r="Z119" s="51"/>
    </row>
    <row r="120" spans="18:26">
      <c r="R120" s="47"/>
      <c r="S120" s="50"/>
      <c r="T120" s="50"/>
      <c r="U120" s="50"/>
      <c r="V120" s="50"/>
      <c r="W120" s="50"/>
      <c r="X120" s="50"/>
      <c r="Y120" s="50"/>
      <c r="Z120" s="51"/>
    </row>
    <row r="121" spans="18:26">
      <c r="R121" s="47"/>
      <c r="S121" s="50"/>
      <c r="T121" s="50"/>
      <c r="U121" s="50"/>
      <c r="V121" s="50"/>
      <c r="W121" s="50"/>
      <c r="X121" s="50"/>
      <c r="Y121" s="50"/>
      <c r="Z121" s="51"/>
    </row>
    <row r="122" spans="18:26">
      <c r="R122" s="47"/>
      <c r="S122" s="50"/>
      <c r="T122" s="50"/>
      <c r="U122" s="50"/>
      <c r="V122" s="50"/>
      <c r="W122" s="50"/>
      <c r="X122" s="50"/>
      <c r="Y122" s="50"/>
      <c r="Z122" s="51"/>
    </row>
    <row r="123" spans="18:26">
      <c r="R123" s="47"/>
      <c r="S123" s="50"/>
      <c r="T123" s="50"/>
      <c r="U123" s="50"/>
      <c r="V123" s="50"/>
      <c r="W123" s="50"/>
      <c r="X123" s="50"/>
      <c r="Y123" s="50"/>
      <c r="Z123" s="51"/>
    </row>
    <row r="124" spans="18:26">
      <c r="R124" s="47"/>
      <c r="S124" s="50"/>
      <c r="T124" s="50"/>
      <c r="U124" s="50"/>
      <c r="V124" s="50"/>
      <c r="W124" s="50"/>
      <c r="X124" s="50"/>
      <c r="Y124" s="50"/>
      <c r="Z124" s="51"/>
    </row>
    <row r="125" spans="18:26">
      <c r="R125" s="47"/>
      <c r="S125" s="50"/>
      <c r="T125" s="50"/>
      <c r="U125" s="50"/>
      <c r="V125" s="50"/>
      <c r="W125" s="50"/>
      <c r="X125" s="50"/>
      <c r="Y125" s="50"/>
      <c r="Z125" s="51"/>
    </row>
    <row r="126" spans="18:26">
      <c r="R126" s="47"/>
      <c r="S126" s="50"/>
      <c r="T126" s="50"/>
      <c r="U126" s="50"/>
      <c r="V126" s="50"/>
      <c r="W126" s="50"/>
      <c r="X126" s="50"/>
      <c r="Y126" s="50"/>
      <c r="Z126" s="51"/>
    </row>
    <row r="127" spans="18:26">
      <c r="R127" s="47"/>
      <c r="S127" s="50"/>
      <c r="T127" s="50"/>
      <c r="U127" s="50"/>
      <c r="V127" s="50"/>
      <c r="W127" s="50"/>
      <c r="X127" s="50"/>
      <c r="Y127" s="50"/>
      <c r="Z127" s="51"/>
    </row>
    <row r="128" spans="18:26">
      <c r="R128" s="47"/>
      <c r="S128" s="50"/>
      <c r="T128" s="50"/>
      <c r="U128" s="50"/>
      <c r="V128" s="50"/>
      <c r="W128" s="50"/>
      <c r="X128" s="50"/>
      <c r="Y128" s="50"/>
      <c r="Z128" s="51"/>
    </row>
    <row r="129" spans="18:26">
      <c r="R129" s="47"/>
      <c r="S129" s="50"/>
      <c r="T129" s="50"/>
      <c r="U129" s="50"/>
      <c r="V129" s="50"/>
      <c r="W129" s="50"/>
      <c r="X129" s="50"/>
      <c r="Y129" s="50"/>
      <c r="Z129" s="51"/>
    </row>
    <row r="130" spans="18:26">
      <c r="R130" s="47"/>
      <c r="S130" s="50"/>
      <c r="T130" s="50"/>
      <c r="U130" s="50"/>
      <c r="V130" s="50"/>
      <c r="W130" s="50"/>
      <c r="X130" s="50"/>
      <c r="Y130" s="50"/>
      <c r="Z130" s="51"/>
    </row>
    <row r="131" spans="18:26">
      <c r="R131" s="47"/>
      <c r="S131" s="50"/>
      <c r="T131" s="50"/>
      <c r="U131" s="50"/>
      <c r="V131" s="50"/>
      <c r="W131" s="50"/>
      <c r="X131" s="50"/>
      <c r="Y131" s="50"/>
      <c r="Z131" s="51"/>
    </row>
    <row r="132" spans="18:26">
      <c r="R132" s="47"/>
      <c r="S132" s="50"/>
      <c r="T132" s="50"/>
      <c r="U132" s="50"/>
      <c r="V132" s="50"/>
      <c r="W132" s="50"/>
      <c r="X132" s="50"/>
      <c r="Y132" s="50"/>
      <c r="Z132" s="51"/>
    </row>
    <row r="133" spans="18:26">
      <c r="R133" s="47"/>
      <c r="S133" s="50"/>
      <c r="T133" s="50"/>
      <c r="U133" s="50"/>
      <c r="V133" s="50"/>
      <c r="W133" s="50"/>
      <c r="X133" s="50"/>
      <c r="Y133" s="50"/>
      <c r="Z133" s="51"/>
    </row>
    <row r="134" spans="18:26">
      <c r="R134" s="47"/>
      <c r="S134" s="50"/>
      <c r="T134" s="50"/>
      <c r="U134" s="50"/>
      <c r="V134" s="50"/>
      <c r="W134" s="50"/>
      <c r="X134" s="50"/>
      <c r="Y134" s="50"/>
      <c r="Z134" s="51"/>
    </row>
    <row r="135" spans="18:26">
      <c r="R135" s="47"/>
      <c r="S135" s="50"/>
      <c r="T135" s="50"/>
      <c r="U135" s="50"/>
      <c r="V135" s="50"/>
      <c r="W135" s="50"/>
      <c r="X135" s="50"/>
      <c r="Y135" s="50"/>
      <c r="Z135" s="51"/>
    </row>
    <row r="136" spans="18:26">
      <c r="R136" s="47"/>
      <c r="S136" s="50"/>
      <c r="T136" s="50"/>
      <c r="U136" s="50"/>
      <c r="V136" s="50"/>
      <c r="W136" s="50"/>
      <c r="X136" s="50"/>
      <c r="Y136" s="50"/>
      <c r="Z136" s="51"/>
    </row>
    <row r="137" spans="18:26">
      <c r="R137" s="47"/>
      <c r="S137" s="50"/>
      <c r="T137" s="50"/>
      <c r="U137" s="50"/>
      <c r="V137" s="50"/>
      <c r="W137" s="50"/>
      <c r="X137" s="50"/>
      <c r="Y137" s="50"/>
      <c r="Z137" s="51"/>
    </row>
    <row r="138" spans="18:26">
      <c r="R138" s="47"/>
      <c r="S138" s="50"/>
      <c r="T138" s="50"/>
      <c r="U138" s="50"/>
      <c r="V138" s="50"/>
      <c r="W138" s="50"/>
      <c r="X138" s="50"/>
      <c r="Y138" s="50"/>
      <c r="Z138" s="51"/>
    </row>
    <row r="139" spans="18:26">
      <c r="R139" s="47"/>
      <c r="S139" s="50"/>
      <c r="T139" s="50"/>
      <c r="U139" s="50"/>
      <c r="V139" s="50"/>
      <c r="W139" s="50"/>
      <c r="X139" s="50"/>
      <c r="Y139" s="50"/>
      <c r="Z139" s="51"/>
    </row>
    <row r="140" spans="18:26">
      <c r="R140" s="47"/>
      <c r="S140" s="50"/>
      <c r="T140" s="50"/>
      <c r="U140" s="50"/>
      <c r="V140" s="50"/>
      <c r="W140" s="50"/>
      <c r="X140" s="50"/>
      <c r="Y140" s="50"/>
      <c r="Z140" s="51"/>
    </row>
    <row r="141" spans="18:26">
      <c r="R141" s="47"/>
      <c r="S141" s="50"/>
      <c r="T141" s="50"/>
      <c r="U141" s="50"/>
      <c r="V141" s="50"/>
      <c r="W141" s="50"/>
      <c r="X141" s="50"/>
      <c r="Y141" s="50"/>
      <c r="Z141" s="51"/>
    </row>
    <row r="142" spans="18:26">
      <c r="R142" s="47"/>
      <c r="S142" s="50"/>
      <c r="T142" s="50"/>
      <c r="U142" s="50"/>
      <c r="V142" s="50"/>
      <c r="W142" s="50"/>
      <c r="X142" s="50"/>
      <c r="Y142" s="50"/>
      <c r="Z142" s="51"/>
    </row>
    <row r="143" spans="18:26">
      <c r="R143" s="47"/>
      <c r="S143" s="50"/>
      <c r="T143" s="50"/>
      <c r="U143" s="50"/>
      <c r="V143" s="50"/>
      <c r="W143" s="50"/>
      <c r="X143" s="50"/>
      <c r="Y143" s="50"/>
      <c r="Z143" s="51"/>
    </row>
    <row r="144" spans="18:26">
      <c r="R144" s="47"/>
      <c r="S144" s="50"/>
      <c r="T144" s="50"/>
      <c r="U144" s="50"/>
      <c r="V144" s="50"/>
      <c r="W144" s="50"/>
      <c r="X144" s="50"/>
      <c r="Y144" s="50"/>
      <c r="Z144" s="51"/>
    </row>
    <row r="145" spans="18:26">
      <c r="R145" s="47"/>
      <c r="S145" s="50"/>
      <c r="T145" s="50"/>
      <c r="U145" s="50"/>
      <c r="V145" s="50"/>
      <c r="W145" s="50"/>
      <c r="X145" s="50"/>
      <c r="Y145" s="50"/>
      <c r="Z145" s="51"/>
    </row>
    <row r="146" spans="18:26">
      <c r="R146" s="47"/>
      <c r="S146" s="50"/>
      <c r="T146" s="50"/>
      <c r="U146" s="50"/>
      <c r="V146" s="50"/>
      <c r="W146" s="50"/>
      <c r="X146" s="50"/>
      <c r="Y146" s="50"/>
      <c r="Z146" s="51"/>
    </row>
    <row r="147" spans="18:26">
      <c r="R147" s="47"/>
      <c r="S147" s="50"/>
      <c r="T147" s="50"/>
      <c r="U147" s="50"/>
      <c r="V147" s="50"/>
      <c r="W147" s="50"/>
      <c r="X147" s="50"/>
      <c r="Y147" s="50"/>
      <c r="Z147" s="51"/>
    </row>
    <row r="148" spans="18:26">
      <c r="R148" s="47"/>
      <c r="S148" s="50"/>
      <c r="T148" s="50"/>
      <c r="U148" s="50"/>
      <c r="V148" s="50"/>
      <c r="W148" s="50"/>
      <c r="X148" s="50"/>
      <c r="Y148" s="50"/>
      <c r="Z148" s="51"/>
    </row>
    <row r="149" spans="18:26">
      <c r="R149" s="47"/>
      <c r="S149" s="50"/>
      <c r="T149" s="50"/>
      <c r="U149" s="50"/>
      <c r="V149" s="50"/>
      <c r="W149" s="50"/>
      <c r="X149" s="50"/>
      <c r="Y149" s="50"/>
      <c r="Z149" s="51"/>
    </row>
    <row r="150" spans="18:26">
      <c r="R150" s="47"/>
      <c r="S150" s="50"/>
      <c r="T150" s="50"/>
      <c r="U150" s="50"/>
      <c r="V150" s="50"/>
      <c r="W150" s="50"/>
      <c r="X150" s="50"/>
      <c r="Y150" s="50"/>
      <c r="Z150" s="51"/>
    </row>
    <row r="151" spans="18:26">
      <c r="R151" s="47"/>
      <c r="S151" s="50"/>
      <c r="T151" s="50"/>
      <c r="U151" s="50"/>
      <c r="V151" s="50"/>
      <c r="W151" s="50"/>
      <c r="X151" s="50"/>
      <c r="Y151" s="50"/>
      <c r="Z151" s="51"/>
    </row>
    <row r="152" spans="18:26">
      <c r="R152" s="47"/>
      <c r="S152" s="50"/>
      <c r="T152" s="50"/>
      <c r="U152" s="50"/>
      <c r="V152" s="50"/>
      <c r="W152" s="50"/>
      <c r="X152" s="50"/>
      <c r="Y152" s="50"/>
      <c r="Z152" s="51"/>
    </row>
    <row r="153" spans="18:26">
      <c r="R153" s="47"/>
      <c r="S153" s="50"/>
      <c r="T153" s="50"/>
      <c r="U153" s="50"/>
      <c r="V153" s="50"/>
      <c r="W153" s="50"/>
      <c r="X153" s="50"/>
      <c r="Y153" s="50"/>
      <c r="Z153" s="51"/>
    </row>
    <row r="154" spans="18:26">
      <c r="R154" s="47"/>
      <c r="S154" s="50"/>
      <c r="T154" s="50"/>
      <c r="U154" s="50"/>
      <c r="V154" s="50"/>
      <c r="W154" s="50"/>
      <c r="X154" s="50"/>
      <c r="Y154" s="50"/>
      <c r="Z154" s="51"/>
    </row>
    <row r="155" spans="18:26">
      <c r="R155" s="47"/>
      <c r="S155" s="50"/>
      <c r="T155" s="50"/>
      <c r="U155" s="50"/>
      <c r="V155" s="50"/>
      <c r="W155" s="50"/>
      <c r="X155" s="50"/>
      <c r="Y155" s="50"/>
      <c r="Z155" s="51"/>
    </row>
    <row r="156" spans="18:26">
      <c r="R156" s="47"/>
      <c r="S156" s="50"/>
      <c r="T156" s="50"/>
      <c r="U156" s="50"/>
      <c r="V156" s="50"/>
      <c r="W156" s="50"/>
      <c r="X156" s="50"/>
      <c r="Y156" s="50"/>
      <c r="Z156" s="51"/>
    </row>
    <row r="157" spans="18:26">
      <c r="R157" s="47"/>
      <c r="S157" s="50"/>
      <c r="T157" s="50"/>
      <c r="U157" s="50"/>
      <c r="V157" s="50"/>
      <c r="W157" s="50"/>
      <c r="X157" s="50"/>
      <c r="Y157" s="50"/>
      <c r="Z157" s="51"/>
    </row>
    <row r="158" spans="18:26">
      <c r="R158" s="47"/>
      <c r="S158" s="50"/>
      <c r="T158" s="50"/>
      <c r="U158" s="50"/>
      <c r="V158" s="50"/>
      <c r="W158" s="50"/>
      <c r="X158" s="50"/>
      <c r="Y158" s="50"/>
      <c r="Z158" s="51"/>
    </row>
    <row r="159" spans="18:26">
      <c r="R159" s="47"/>
      <c r="S159" s="50"/>
      <c r="T159" s="50"/>
      <c r="U159" s="50"/>
      <c r="V159" s="50"/>
      <c r="W159" s="50"/>
      <c r="X159" s="50"/>
      <c r="Y159" s="50"/>
      <c r="Z159" s="51"/>
    </row>
    <row r="160" spans="18:26">
      <c r="R160" s="47"/>
      <c r="S160" s="50"/>
      <c r="T160" s="50"/>
      <c r="U160" s="50"/>
      <c r="V160" s="50"/>
      <c r="W160" s="50"/>
      <c r="X160" s="50"/>
      <c r="Y160" s="50"/>
      <c r="Z160" s="51"/>
    </row>
    <row r="161" spans="18:26">
      <c r="R161" s="47"/>
      <c r="S161" s="50"/>
      <c r="T161" s="50"/>
      <c r="U161" s="50"/>
      <c r="V161" s="50"/>
      <c r="W161" s="50"/>
      <c r="X161" s="50"/>
      <c r="Y161" s="50"/>
      <c r="Z161" s="51"/>
    </row>
    <row r="162" spans="18:26">
      <c r="R162" s="47"/>
      <c r="S162" s="50"/>
      <c r="T162" s="50"/>
      <c r="U162" s="50"/>
      <c r="V162" s="50"/>
      <c r="W162" s="50"/>
      <c r="X162" s="50"/>
      <c r="Y162" s="50"/>
      <c r="Z162" s="51"/>
    </row>
    <row r="163" spans="18:26">
      <c r="R163" s="47"/>
      <c r="S163" s="50"/>
      <c r="T163" s="50"/>
      <c r="U163" s="50"/>
      <c r="V163" s="50"/>
      <c r="W163" s="50"/>
      <c r="X163" s="50"/>
      <c r="Y163" s="50"/>
      <c r="Z163" s="51"/>
    </row>
    <row r="164" spans="18:26">
      <c r="R164" s="47"/>
      <c r="S164" s="50"/>
      <c r="T164" s="50"/>
      <c r="U164" s="50"/>
      <c r="V164" s="50"/>
      <c r="W164" s="50"/>
      <c r="X164" s="50"/>
      <c r="Y164" s="50"/>
      <c r="Z164" s="51"/>
    </row>
    <row r="165" spans="18:26">
      <c r="R165" s="47"/>
      <c r="S165" s="50"/>
      <c r="T165" s="50"/>
      <c r="U165" s="50"/>
      <c r="V165" s="50"/>
      <c r="W165" s="50"/>
      <c r="X165" s="50"/>
      <c r="Y165" s="50"/>
      <c r="Z165" s="51"/>
    </row>
    <row r="166" spans="18:26">
      <c r="R166" s="47"/>
      <c r="S166" s="50"/>
      <c r="T166" s="50"/>
      <c r="U166" s="50"/>
      <c r="V166" s="50"/>
      <c r="W166" s="50"/>
      <c r="X166" s="50"/>
      <c r="Y166" s="50"/>
      <c r="Z166" s="51"/>
    </row>
    <row r="167" spans="18:26">
      <c r="R167" s="47"/>
      <c r="S167" s="50"/>
      <c r="T167" s="50"/>
      <c r="U167" s="50"/>
      <c r="V167" s="50"/>
      <c r="W167" s="50"/>
      <c r="X167" s="50"/>
      <c r="Y167" s="50"/>
      <c r="Z167" s="51"/>
    </row>
    <row r="168" spans="18:26">
      <c r="R168" s="47"/>
      <c r="S168" s="50"/>
      <c r="T168" s="50"/>
      <c r="U168" s="50"/>
      <c r="V168" s="50"/>
      <c r="W168" s="50"/>
      <c r="X168" s="50"/>
      <c r="Y168" s="50"/>
      <c r="Z168" s="51"/>
    </row>
    <row r="169" spans="18:26">
      <c r="R169" s="47"/>
      <c r="S169" s="50"/>
      <c r="T169" s="50"/>
      <c r="U169" s="50"/>
      <c r="V169" s="50"/>
      <c r="W169" s="50"/>
      <c r="X169" s="50"/>
      <c r="Y169" s="50"/>
      <c r="Z169" s="51"/>
    </row>
    <row r="170" spans="18:26">
      <c r="R170" s="47"/>
      <c r="S170" s="50"/>
      <c r="T170" s="50"/>
      <c r="U170" s="50"/>
      <c r="V170" s="50"/>
      <c r="W170" s="50"/>
      <c r="X170" s="50"/>
      <c r="Y170" s="50"/>
      <c r="Z170" s="51"/>
    </row>
    <row r="171" spans="18:26">
      <c r="R171" s="47"/>
      <c r="S171" s="50"/>
      <c r="T171" s="50"/>
      <c r="U171" s="50"/>
      <c r="V171" s="50"/>
      <c r="W171" s="50"/>
      <c r="X171" s="50"/>
      <c r="Y171" s="50"/>
      <c r="Z171" s="51"/>
    </row>
    <row r="172" spans="18:26">
      <c r="R172" s="47"/>
      <c r="S172" s="50"/>
      <c r="T172" s="50"/>
      <c r="U172" s="50"/>
      <c r="V172" s="50"/>
      <c r="W172" s="50"/>
      <c r="X172" s="50"/>
      <c r="Y172" s="50"/>
      <c r="Z172" s="51"/>
    </row>
    <row r="173" spans="18:26">
      <c r="R173" s="47"/>
      <c r="S173" s="50"/>
      <c r="T173" s="50"/>
      <c r="U173" s="50"/>
      <c r="V173" s="50"/>
      <c r="W173" s="50"/>
      <c r="X173" s="50"/>
      <c r="Y173" s="50"/>
      <c r="Z173" s="51"/>
    </row>
    <row r="174" spans="18:26">
      <c r="R174" s="47"/>
      <c r="S174" s="50"/>
      <c r="T174" s="50"/>
      <c r="U174" s="50"/>
      <c r="V174" s="50"/>
      <c r="W174" s="50"/>
      <c r="X174" s="50"/>
      <c r="Y174" s="50"/>
      <c r="Z174" s="51"/>
    </row>
    <row r="175" spans="18:26">
      <c r="R175" s="47"/>
      <c r="S175" s="50"/>
      <c r="T175" s="50"/>
      <c r="U175" s="50"/>
      <c r="V175" s="50"/>
      <c r="W175" s="50"/>
      <c r="X175" s="50"/>
      <c r="Y175" s="50"/>
      <c r="Z175" s="51"/>
    </row>
    <row r="176" spans="18:26">
      <c r="R176" s="47"/>
      <c r="S176" s="50"/>
      <c r="T176" s="50"/>
      <c r="U176" s="50"/>
      <c r="V176" s="50"/>
      <c r="W176" s="50"/>
      <c r="X176" s="50"/>
      <c r="Y176" s="50"/>
      <c r="Z176" s="51"/>
    </row>
    <row r="177" spans="18:26">
      <c r="R177" s="47"/>
      <c r="S177" s="50"/>
      <c r="T177" s="50"/>
      <c r="U177" s="50"/>
      <c r="V177" s="50"/>
      <c r="W177" s="50"/>
      <c r="X177" s="50"/>
      <c r="Y177" s="50"/>
      <c r="Z177" s="51"/>
    </row>
    <row r="178" spans="18:26">
      <c r="R178" s="47"/>
      <c r="S178" s="50"/>
      <c r="T178" s="50"/>
      <c r="U178" s="50"/>
      <c r="V178" s="50"/>
      <c r="W178" s="50"/>
      <c r="X178" s="50"/>
      <c r="Y178" s="50"/>
      <c r="Z178" s="51"/>
    </row>
    <row r="179" spans="18:26">
      <c r="R179" s="47"/>
      <c r="S179" s="50"/>
      <c r="T179" s="50"/>
      <c r="U179" s="50"/>
      <c r="V179" s="50"/>
      <c r="W179" s="50"/>
      <c r="X179" s="50"/>
      <c r="Y179" s="50"/>
      <c r="Z179" s="51"/>
    </row>
    <row r="180" spans="18:26">
      <c r="R180" s="47"/>
      <c r="S180" s="50"/>
      <c r="T180" s="50"/>
      <c r="U180" s="50"/>
      <c r="V180" s="50"/>
      <c r="W180" s="50"/>
      <c r="X180" s="50"/>
      <c r="Y180" s="50"/>
      <c r="Z180" s="51"/>
    </row>
    <row r="181" spans="18:26">
      <c r="R181" s="47"/>
      <c r="S181" s="50"/>
      <c r="T181" s="50"/>
      <c r="U181" s="50"/>
      <c r="V181" s="50"/>
      <c r="W181" s="50"/>
      <c r="X181" s="50"/>
      <c r="Y181" s="50"/>
      <c r="Z181" s="51"/>
    </row>
    <row r="182" spans="18:26">
      <c r="R182" s="47"/>
      <c r="S182" s="50"/>
      <c r="T182" s="50"/>
      <c r="U182" s="50"/>
      <c r="V182" s="50"/>
      <c r="W182" s="50"/>
      <c r="X182" s="50"/>
      <c r="Y182" s="50"/>
      <c r="Z182" s="51"/>
    </row>
    <row r="183" spans="18:26">
      <c r="R183" s="47"/>
      <c r="S183" s="50"/>
      <c r="T183" s="50"/>
      <c r="U183" s="50"/>
      <c r="V183" s="50"/>
      <c r="W183" s="50"/>
      <c r="X183" s="50"/>
      <c r="Y183" s="50"/>
      <c r="Z183" s="51"/>
    </row>
    <row r="184" spans="18:26">
      <c r="R184" s="47"/>
      <c r="S184" s="50"/>
      <c r="T184" s="50"/>
      <c r="U184" s="50"/>
      <c r="V184" s="50"/>
      <c r="W184" s="50"/>
      <c r="X184" s="50"/>
      <c r="Y184" s="50"/>
      <c r="Z184" s="51"/>
    </row>
    <row r="185" spans="18:26">
      <c r="R185" s="47"/>
      <c r="S185" s="50"/>
      <c r="T185" s="50"/>
      <c r="U185" s="50"/>
      <c r="V185" s="50"/>
      <c r="W185" s="50"/>
      <c r="X185" s="50"/>
      <c r="Y185" s="50"/>
      <c r="Z185" s="51"/>
    </row>
    <row r="186" spans="18:26">
      <c r="R186" s="47"/>
      <c r="S186" s="50"/>
      <c r="T186" s="50"/>
      <c r="U186" s="50"/>
      <c r="V186" s="50"/>
      <c r="W186" s="50"/>
      <c r="X186" s="50"/>
      <c r="Y186" s="50"/>
      <c r="Z186" s="51"/>
    </row>
    <row r="187" spans="18:26">
      <c r="R187" s="47"/>
      <c r="S187" s="50"/>
      <c r="T187" s="50"/>
      <c r="U187" s="50"/>
      <c r="V187" s="50"/>
      <c r="W187" s="50"/>
      <c r="X187" s="50"/>
      <c r="Y187" s="50"/>
      <c r="Z187" s="51"/>
    </row>
    <row r="188" spans="18:26">
      <c r="R188" s="47"/>
      <c r="S188" s="50"/>
      <c r="T188" s="50"/>
      <c r="U188" s="50"/>
      <c r="V188" s="50"/>
      <c r="W188" s="50"/>
      <c r="X188" s="50"/>
      <c r="Y188" s="50"/>
      <c r="Z188" s="51"/>
    </row>
    <row r="189" spans="18:26">
      <c r="R189" s="47"/>
      <c r="S189" s="50"/>
      <c r="T189" s="50"/>
      <c r="U189" s="50"/>
      <c r="V189" s="50"/>
      <c r="W189" s="50"/>
      <c r="X189" s="50"/>
      <c r="Y189" s="50"/>
      <c r="Z189" s="51"/>
    </row>
    <row r="190" spans="18:26">
      <c r="R190" s="47"/>
      <c r="S190" s="50"/>
      <c r="T190" s="50"/>
      <c r="U190" s="50"/>
      <c r="V190" s="50"/>
      <c r="W190" s="50"/>
      <c r="X190" s="50"/>
      <c r="Y190" s="50"/>
      <c r="Z190" s="51"/>
    </row>
    <row r="191" spans="18:26">
      <c r="R191" s="47"/>
      <c r="S191" s="50"/>
      <c r="T191" s="50"/>
      <c r="U191" s="50"/>
      <c r="V191" s="50"/>
      <c r="W191" s="50"/>
      <c r="X191" s="50"/>
      <c r="Y191" s="50"/>
      <c r="Z191" s="51"/>
    </row>
    <row r="192" spans="18:26">
      <c r="R192" s="47"/>
      <c r="S192" s="50"/>
      <c r="T192" s="50"/>
      <c r="U192" s="50"/>
      <c r="V192" s="50"/>
      <c r="W192" s="50"/>
      <c r="X192" s="50"/>
      <c r="Y192" s="50"/>
      <c r="Z192" s="51"/>
    </row>
    <row r="193" spans="18:26">
      <c r="R193" s="47"/>
      <c r="S193" s="50"/>
      <c r="T193" s="50"/>
      <c r="U193" s="50"/>
      <c r="V193" s="50"/>
      <c r="W193" s="50"/>
      <c r="X193" s="50"/>
      <c r="Y193" s="50"/>
      <c r="Z193" s="51"/>
    </row>
    <row r="194" spans="18:26">
      <c r="R194" s="47"/>
      <c r="S194" s="50"/>
      <c r="T194" s="50"/>
      <c r="U194" s="50"/>
      <c r="V194" s="50"/>
      <c r="W194" s="50"/>
      <c r="X194" s="50"/>
      <c r="Y194" s="50"/>
      <c r="Z194" s="51"/>
    </row>
    <row r="195" spans="18:26">
      <c r="R195" s="47"/>
      <c r="S195" s="50"/>
      <c r="T195" s="50"/>
      <c r="U195" s="50"/>
      <c r="V195" s="50"/>
      <c r="W195" s="50"/>
      <c r="X195" s="50"/>
      <c r="Y195" s="50"/>
      <c r="Z195" s="51"/>
    </row>
    <row r="196" spans="18:26">
      <c r="R196" s="47"/>
      <c r="S196" s="50"/>
      <c r="T196" s="50"/>
      <c r="U196" s="50"/>
      <c r="V196" s="50"/>
      <c r="W196" s="50"/>
      <c r="X196" s="50"/>
      <c r="Y196" s="50"/>
      <c r="Z196" s="51"/>
    </row>
    <row r="197" spans="18:26">
      <c r="R197" s="47"/>
      <c r="S197" s="50"/>
      <c r="T197" s="50"/>
      <c r="U197" s="50"/>
      <c r="V197" s="50"/>
      <c r="W197" s="50"/>
      <c r="X197" s="50"/>
      <c r="Y197" s="50"/>
      <c r="Z197" s="51"/>
    </row>
    <row r="198" spans="18:26">
      <c r="R198" s="47"/>
      <c r="S198" s="50"/>
      <c r="T198" s="50"/>
      <c r="U198" s="50"/>
      <c r="V198" s="50"/>
      <c r="W198" s="50"/>
      <c r="X198" s="50"/>
      <c r="Y198" s="50"/>
      <c r="Z198" s="51"/>
    </row>
    <row r="199" spans="18:26">
      <c r="R199" s="47"/>
      <c r="S199" s="50"/>
      <c r="T199" s="50"/>
      <c r="U199" s="50"/>
      <c r="V199" s="50"/>
      <c r="W199" s="50"/>
      <c r="X199" s="50"/>
      <c r="Y199" s="50"/>
      <c r="Z199" s="51"/>
    </row>
    <row r="200" spans="18:26">
      <c r="R200" s="47"/>
      <c r="S200" s="50"/>
      <c r="T200" s="50"/>
      <c r="U200" s="50"/>
      <c r="V200" s="50"/>
      <c r="W200" s="50"/>
      <c r="X200" s="50"/>
      <c r="Y200" s="50"/>
      <c r="Z200" s="51"/>
    </row>
    <row r="201" spans="18:26">
      <c r="R201" s="47"/>
      <c r="S201" s="50"/>
      <c r="T201" s="50"/>
      <c r="U201" s="50"/>
      <c r="V201" s="50"/>
      <c r="W201" s="50"/>
      <c r="X201" s="50"/>
      <c r="Y201" s="50"/>
      <c r="Z201" s="51"/>
    </row>
    <row r="202" spans="18:26">
      <c r="R202" s="47"/>
      <c r="S202" s="50"/>
      <c r="T202" s="50"/>
      <c r="U202" s="50"/>
      <c r="V202" s="50"/>
      <c r="W202" s="50"/>
      <c r="X202" s="50"/>
      <c r="Y202" s="50"/>
      <c r="Z202" s="51"/>
    </row>
    <row r="203" spans="18:26">
      <c r="R203" s="47"/>
      <c r="S203" s="50"/>
      <c r="T203" s="50"/>
      <c r="U203" s="50"/>
      <c r="V203" s="50"/>
      <c r="W203" s="50"/>
      <c r="X203" s="50"/>
      <c r="Y203" s="50"/>
      <c r="Z203" s="51"/>
    </row>
    <row r="204" spans="18:26">
      <c r="R204" s="47"/>
      <c r="S204" s="50"/>
      <c r="T204" s="50"/>
      <c r="U204" s="50"/>
      <c r="V204" s="50"/>
      <c r="W204" s="50"/>
      <c r="X204" s="50"/>
      <c r="Y204" s="50"/>
      <c r="Z204" s="51"/>
    </row>
    <row r="205" spans="18:26">
      <c r="R205" s="47"/>
      <c r="S205" s="50"/>
      <c r="T205" s="50"/>
      <c r="U205" s="50"/>
      <c r="V205" s="50"/>
      <c r="W205" s="50"/>
      <c r="X205" s="50"/>
      <c r="Y205" s="50"/>
      <c r="Z205" s="51"/>
    </row>
    <row r="206" spans="18:26">
      <c r="R206" s="47"/>
      <c r="S206" s="50"/>
      <c r="T206" s="50"/>
      <c r="U206" s="50"/>
      <c r="V206" s="50"/>
      <c r="W206" s="50"/>
      <c r="X206" s="50"/>
      <c r="Y206" s="50"/>
      <c r="Z206" s="51"/>
    </row>
    <row r="207" spans="18:26">
      <c r="R207" s="47"/>
      <c r="S207" s="50"/>
      <c r="T207" s="50"/>
      <c r="U207" s="50"/>
      <c r="V207" s="50"/>
      <c r="W207" s="50"/>
      <c r="X207" s="50"/>
      <c r="Y207" s="50"/>
      <c r="Z207" s="51"/>
    </row>
    <row r="208" spans="18:26">
      <c r="R208" s="47"/>
      <c r="S208" s="50"/>
      <c r="T208" s="50"/>
      <c r="U208" s="50"/>
      <c r="V208" s="50"/>
      <c r="W208" s="50"/>
      <c r="X208" s="50"/>
      <c r="Y208" s="50"/>
      <c r="Z208" s="51"/>
    </row>
    <row r="209" spans="18:26">
      <c r="R209" s="47"/>
      <c r="S209" s="50"/>
      <c r="T209" s="50"/>
      <c r="U209" s="50"/>
      <c r="V209" s="50"/>
      <c r="W209" s="50"/>
      <c r="X209" s="50"/>
      <c r="Y209" s="50"/>
      <c r="Z209" s="51"/>
    </row>
    <row r="210" spans="18:26">
      <c r="R210" s="47"/>
      <c r="S210" s="50"/>
      <c r="T210" s="50"/>
      <c r="U210" s="50"/>
      <c r="V210" s="50"/>
      <c r="W210" s="50"/>
      <c r="X210" s="50"/>
      <c r="Y210" s="50"/>
      <c r="Z210" s="51"/>
    </row>
    <row r="211" spans="18:26">
      <c r="R211" s="47"/>
      <c r="S211" s="50"/>
      <c r="T211" s="50"/>
      <c r="U211" s="50"/>
      <c r="V211" s="50"/>
      <c r="W211" s="50"/>
      <c r="X211" s="50"/>
      <c r="Y211" s="50"/>
      <c r="Z211" s="51"/>
    </row>
    <row r="212" spans="18:26">
      <c r="R212" s="47"/>
      <c r="S212" s="50"/>
      <c r="T212" s="50"/>
      <c r="U212" s="50"/>
      <c r="V212" s="50"/>
      <c r="W212" s="50"/>
      <c r="X212" s="50"/>
      <c r="Y212" s="50"/>
      <c r="Z212" s="51"/>
    </row>
    <row r="213" spans="18:26">
      <c r="R213" s="47"/>
      <c r="S213" s="50"/>
      <c r="T213" s="50"/>
      <c r="U213" s="50"/>
      <c r="V213" s="50"/>
      <c r="W213" s="50"/>
      <c r="X213" s="50"/>
      <c r="Y213" s="50"/>
      <c r="Z213" s="51"/>
    </row>
    <row r="214" spans="18:26">
      <c r="R214" s="47"/>
      <c r="S214" s="50"/>
      <c r="T214" s="50"/>
      <c r="U214" s="50"/>
      <c r="V214" s="50"/>
      <c r="W214" s="50"/>
      <c r="X214" s="50"/>
      <c r="Y214" s="50"/>
      <c r="Z214" s="51"/>
    </row>
    <row r="215" spans="18:26">
      <c r="R215" s="47"/>
      <c r="S215" s="50"/>
      <c r="T215" s="50"/>
      <c r="U215" s="50"/>
      <c r="V215" s="50"/>
      <c r="W215" s="50"/>
      <c r="X215" s="50"/>
      <c r="Y215" s="50"/>
      <c r="Z215" s="51"/>
    </row>
    <row r="216" spans="18:26">
      <c r="R216" s="47"/>
      <c r="S216" s="50"/>
      <c r="T216" s="50"/>
      <c r="U216" s="50"/>
      <c r="V216" s="50"/>
      <c r="W216" s="50"/>
      <c r="X216" s="50"/>
      <c r="Y216" s="50"/>
      <c r="Z216" s="51"/>
    </row>
    <row r="217" spans="18:26">
      <c r="R217" s="47"/>
      <c r="S217" s="50"/>
      <c r="T217" s="50"/>
      <c r="U217" s="50"/>
      <c r="V217" s="50"/>
      <c r="W217" s="50"/>
      <c r="X217" s="50"/>
      <c r="Y217" s="50"/>
      <c r="Z217" s="51"/>
    </row>
    <row r="218" spans="18:26">
      <c r="R218" s="47"/>
      <c r="S218" s="50"/>
      <c r="T218" s="50"/>
      <c r="U218" s="50"/>
      <c r="V218" s="50"/>
      <c r="W218" s="50"/>
      <c r="X218" s="50"/>
      <c r="Y218" s="50"/>
      <c r="Z218" s="51"/>
    </row>
    <row r="219" spans="18:26">
      <c r="R219" s="47"/>
      <c r="S219" s="50"/>
      <c r="T219" s="50"/>
      <c r="U219" s="50"/>
      <c r="V219" s="50"/>
      <c r="W219" s="50"/>
      <c r="X219" s="50"/>
      <c r="Y219" s="50"/>
      <c r="Z219" s="51"/>
    </row>
    <row r="220" spans="18:26">
      <c r="R220" s="47"/>
      <c r="S220" s="50"/>
      <c r="T220" s="50"/>
      <c r="U220" s="50"/>
      <c r="V220" s="50"/>
      <c r="W220" s="50"/>
      <c r="X220" s="50"/>
      <c r="Y220" s="50"/>
      <c r="Z220" s="51"/>
    </row>
    <row r="221" spans="18:26">
      <c r="R221" s="47"/>
      <c r="S221" s="50"/>
      <c r="T221" s="50"/>
      <c r="U221" s="50"/>
      <c r="V221" s="50"/>
      <c r="W221" s="50"/>
      <c r="X221" s="50"/>
      <c r="Y221" s="50"/>
      <c r="Z221" s="51"/>
    </row>
    <row r="222" spans="18:26">
      <c r="R222" s="47"/>
      <c r="S222" s="50"/>
      <c r="T222" s="50"/>
      <c r="U222" s="50"/>
      <c r="V222" s="50"/>
      <c r="W222" s="50"/>
      <c r="X222" s="50"/>
      <c r="Y222" s="50"/>
      <c r="Z222" s="51"/>
    </row>
    <row r="223" spans="18:26">
      <c r="R223" s="47"/>
      <c r="S223" s="50"/>
      <c r="T223" s="50"/>
      <c r="U223" s="50"/>
      <c r="V223" s="50"/>
      <c r="W223" s="50"/>
      <c r="X223" s="50"/>
      <c r="Y223" s="50"/>
      <c r="Z223" s="51"/>
    </row>
    <row r="224" spans="18:26">
      <c r="R224" s="47"/>
      <c r="S224" s="50"/>
      <c r="T224" s="50"/>
      <c r="U224" s="50"/>
      <c r="V224" s="50"/>
      <c r="W224" s="50"/>
      <c r="X224" s="50"/>
      <c r="Y224" s="50"/>
      <c r="Z224" s="51"/>
    </row>
    <row r="225" spans="18:26">
      <c r="R225" s="47"/>
      <c r="S225" s="50"/>
      <c r="T225" s="50"/>
      <c r="U225" s="50"/>
      <c r="V225" s="50"/>
      <c r="W225" s="50"/>
      <c r="X225" s="50"/>
      <c r="Y225" s="50"/>
      <c r="Z225" s="51"/>
    </row>
    <row r="226" spans="18:26">
      <c r="R226" s="47"/>
      <c r="S226" s="50"/>
      <c r="T226" s="50"/>
      <c r="U226" s="50"/>
      <c r="V226" s="50"/>
      <c r="W226" s="50"/>
      <c r="X226" s="50"/>
      <c r="Y226" s="50"/>
      <c r="Z226" s="51"/>
    </row>
    <row r="227" spans="18:26">
      <c r="R227" s="47"/>
      <c r="S227" s="50"/>
      <c r="T227" s="50"/>
      <c r="U227" s="50"/>
      <c r="V227" s="50"/>
      <c r="W227" s="50"/>
      <c r="X227" s="50"/>
      <c r="Y227" s="50"/>
      <c r="Z227" s="51"/>
    </row>
    <row r="228" spans="18:26">
      <c r="R228" s="47"/>
      <c r="S228" s="50"/>
      <c r="T228" s="50"/>
      <c r="U228" s="50"/>
      <c r="V228" s="50"/>
      <c r="W228" s="50"/>
      <c r="X228" s="50"/>
      <c r="Y228" s="50"/>
      <c r="Z228" s="51"/>
    </row>
    <row r="229" spans="18:26">
      <c r="R229" s="47"/>
      <c r="S229" s="50"/>
      <c r="T229" s="50"/>
      <c r="U229" s="50"/>
      <c r="V229" s="50"/>
      <c r="W229" s="50"/>
      <c r="X229" s="50"/>
      <c r="Y229" s="50"/>
      <c r="Z229" s="51"/>
    </row>
    <row r="230" spans="18:26">
      <c r="R230" s="47"/>
      <c r="S230" s="50"/>
      <c r="T230" s="50"/>
      <c r="U230" s="50"/>
      <c r="V230" s="50"/>
      <c r="W230" s="50"/>
      <c r="X230" s="50"/>
      <c r="Y230" s="50"/>
      <c r="Z230" s="51"/>
    </row>
    <row r="231" spans="18:26">
      <c r="R231" s="47"/>
      <c r="S231" s="50"/>
      <c r="T231" s="50"/>
      <c r="U231" s="50"/>
      <c r="V231" s="50"/>
      <c r="W231" s="50"/>
      <c r="X231" s="50"/>
      <c r="Y231" s="50"/>
      <c r="Z231" s="51"/>
    </row>
    <row r="232" spans="18:26">
      <c r="R232" s="47"/>
      <c r="S232" s="50"/>
      <c r="T232" s="50"/>
      <c r="U232" s="50"/>
      <c r="V232" s="50"/>
      <c r="W232" s="50"/>
      <c r="X232" s="50"/>
      <c r="Y232" s="50"/>
      <c r="Z232" s="51"/>
    </row>
    <row r="233" spans="18:26">
      <c r="R233" s="47"/>
      <c r="S233" s="50"/>
      <c r="T233" s="50"/>
      <c r="U233" s="50"/>
      <c r="V233" s="50"/>
      <c r="W233" s="50"/>
      <c r="X233" s="50"/>
      <c r="Y233" s="50"/>
      <c r="Z233" s="51"/>
    </row>
    <row r="234" spans="18:26">
      <c r="R234" s="47"/>
      <c r="S234" s="50"/>
      <c r="T234" s="50"/>
      <c r="U234" s="50"/>
      <c r="V234" s="50"/>
      <c r="W234" s="50"/>
      <c r="X234" s="50"/>
      <c r="Y234" s="50"/>
      <c r="Z234" s="51"/>
    </row>
    <row r="235" spans="18:26">
      <c r="R235" s="47"/>
      <c r="S235" s="50"/>
      <c r="T235" s="50"/>
      <c r="U235" s="50"/>
      <c r="V235" s="50"/>
      <c r="W235" s="50"/>
      <c r="X235" s="50"/>
      <c r="Y235" s="50"/>
      <c r="Z235" s="51"/>
    </row>
    <row r="236" spans="18:26">
      <c r="R236" s="47"/>
      <c r="S236" s="50"/>
      <c r="T236" s="50"/>
      <c r="U236" s="50"/>
      <c r="V236" s="50"/>
      <c r="W236" s="50"/>
      <c r="X236" s="50"/>
      <c r="Y236" s="50"/>
      <c r="Z236" s="51"/>
    </row>
    <row r="237" spans="18:26">
      <c r="R237" s="47"/>
      <c r="S237" s="50"/>
      <c r="T237" s="50"/>
      <c r="U237" s="50"/>
      <c r="V237" s="50"/>
      <c r="W237" s="50"/>
      <c r="X237" s="50"/>
      <c r="Y237" s="50"/>
      <c r="Z237" s="51"/>
    </row>
    <row r="238" spans="18:26">
      <c r="R238" s="47"/>
      <c r="S238" s="50"/>
      <c r="T238" s="50"/>
      <c r="U238" s="50"/>
      <c r="V238" s="50"/>
      <c r="W238" s="50"/>
      <c r="X238" s="50"/>
      <c r="Y238" s="50"/>
      <c r="Z238" s="51"/>
    </row>
    <row r="239" spans="18:26">
      <c r="R239" s="47"/>
      <c r="S239" s="50"/>
      <c r="T239" s="50"/>
      <c r="U239" s="50"/>
      <c r="V239" s="50"/>
      <c r="W239" s="50"/>
      <c r="X239" s="50"/>
      <c r="Y239" s="50"/>
      <c r="Z239" s="51"/>
    </row>
    <row r="240" spans="18:26">
      <c r="R240" s="47"/>
      <c r="S240" s="50"/>
      <c r="T240" s="50"/>
      <c r="U240" s="50"/>
      <c r="V240" s="50"/>
      <c r="W240" s="50"/>
      <c r="X240" s="50"/>
      <c r="Y240" s="50"/>
      <c r="Z240" s="51"/>
    </row>
    <row r="241" spans="18:26">
      <c r="R241" s="47"/>
      <c r="S241" s="50"/>
      <c r="T241" s="50"/>
      <c r="U241" s="50"/>
      <c r="V241" s="50"/>
      <c r="W241" s="50"/>
      <c r="X241" s="50"/>
      <c r="Y241" s="50"/>
      <c r="Z241" s="51"/>
    </row>
    <row r="242" spans="18:26">
      <c r="R242" s="47"/>
      <c r="S242" s="50"/>
      <c r="T242" s="50"/>
      <c r="U242" s="50"/>
      <c r="V242" s="50"/>
      <c r="W242" s="50"/>
      <c r="X242" s="50"/>
      <c r="Y242" s="50"/>
      <c r="Z242" s="51"/>
    </row>
    <row r="243" spans="18:26">
      <c r="R243" s="47"/>
      <c r="S243" s="50"/>
      <c r="T243" s="50"/>
      <c r="U243" s="50"/>
      <c r="V243" s="50"/>
      <c r="W243" s="50"/>
      <c r="X243" s="50"/>
      <c r="Y243" s="50"/>
      <c r="Z243" s="51"/>
    </row>
    <row r="244" spans="18:26">
      <c r="R244" s="47"/>
      <c r="S244" s="50"/>
      <c r="T244" s="50"/>
      <c r="U244" s="50"/>
      <c r="V244" s="50"/>
      <c r="W244" s="50"/>
      <c r="X244" s="50"/>
      <c r="Y244" s="50"/>
      <c r="Z244" s="51"/>
    </row>
    <row r="245" spans="18:26">
      <c r="R245" s="47"/>
      <c r="S245" s="50"/>
      <c r="T245" s="50"/>
      <c r="U245" s="50"/>
      <c r="V245" s="50"/>
      <c r="W245" s="50"/>
      <c r="X245" s="50"/>
      <c r="Y245" s="50"/>
      <c r="Z245" s="51"/>
    </row>
    <row r="246" spans="18:26">
      <c r="R246" s="47"/>
      <c r="S246" s="50"/>
      <c r="T246" s="50"/>
      <c r="U246" s="50"/>
      <c r="V246" s="50"/>
      <c r="W246" s="50"/>
      <c r="X246" s="50"/>
      <c r="Y246" s="50"/>
      <c r="Z246" s="51"/>
    </row>
    <row r="247" spans="18:26">
      <c r="R247" s="47"/>
      <c r="S247" s="50"/>
      <c r="T247" s="50"/>
      <c r="U247" s="50"/>
      <c r="V247" s="50"/>
      <c r="W247" s="50"/>
      <c r="X247" s="50"/>
      <c r="Y247" s="50"/>
      <c r="Z247" s="51"/>
    </row>
    <row r="248" spans="18:26">
      <c r="R248" s="47"/>
      <c r="S248" s="50"/>
      <c r="T248" s="50"/>
      <c r="U248" s="50"/>
      <c r="V248" s="50"/>
      <c r="W248" s="50"/>
      <c r="X248" s="50"/>
      <c r="Y248" s="50"/>
      <c r="Z248" s="51"/>
    </row>
    <row r="249" spans="18:26">
      <c r="R249" s="47"/>
      <c r="S249" s="50"/>
      <c r="T249" s="50"/>
      <c r="U249" s="50"/>
      <c r="V249" s="50"/>
      <c r="W249" s="50"/>
      <c r="X249" s="50"/>
      <c r="Y249" s="50"/>
      <c r="Z249" s="51"/>
    </row>
    <row r="250" spans="18:26">
      <c r="R250" s="47"/>
      <c r="S250" s="50"/>
      <c r="T250" s="50"/>
      <c r="U250" s="50"/>
      <c r="V250" s="50"/>
      <c r="W250" s="50"/>
      <c r="X250" s="50"/>
      <c r="Y250" s="50"/>
      <c r="Z250" s="51"/>
    </row>
    <row r="251" spans="18:26">
      <c r="R251" s="47"/>
      <c r="S251" s="50"/>
      <c r="T251" s="50"/>
      <c r="U251" s="50"/>
      <c r="V251" s="50"/>
      <c r="W251" s="50"/>
      <c r="X251" s="50"/>
      <c r="Y251" s="50"/>
      <c r="Z251" s="51"/>
    </row>
    <row r="252" spans="18:26">
      <c r="R252" s="47"/>
      <c r="S252" s="50"/>
      <c r="T252" s="50"/>
      <c r="U252" s="50"/>
      <c r="V252" s="50"/>
      <c r="W252" s="50"/>
      <c r="X252" s="50"/>
      <c r="Y252" s="50"/>
      <c r="Z252" s="51"/>
    </row>
    <row r="253" spans="18:26">
      <c r="R253" s="47"/>
      <c r="S253" s="50"/>
      <c r="T253" s="50"/>
      <c r="U253" s="50"/>
      <c r="V253" s="50"/>
      <c r="W253" s="50"/>
      <c r="X253" s="50"/>
      <c r="Y253" s="50"/>
      <c r="Z253" s="51"/>
    </row>
    <row r="254" spans="18:26" ht="13" thickBot="1">
      <c r="R254" s="49"/>
      <c r="S254" s="52"/>
      <c r="T254" s="52"/>
      <c r="U254" s="52"/>
      <c r="V254" s="52"/>
      <c r="W254" s="52"/>
      <c r="X254" s="52"/>
      <c r="Y254" s="52"/>
      <c r="Z254" s="53"/>
    </row>
  </sheetData>
  <mergeCells count="1">
    <mergeCell ref="A1:B1"/>
  </mergeCells>
  <conditionalFormatting sqref="A14:B14">
    <cfRule type="expression" dxfId="0" priority="1">
      <formula>AND($B$13&lt;&gt;$H$16,$B$13&lt;&gt;$H$17,$B$13&lt;&gt;$H$18)</formula>
    </cfRule>
  </conditionalFormatting>
  <dataValidations count="11">
    <dataValidation type="list" allowBlank="1" showInputMessage="1" showErrorMessage="1" sqref="B2" xr:uid="{41AD1ED1-9427-4BEF-ACA7-FFF840B22A37}">
      <formula1>$P$2:$P$4</formula1>
    </dataValidation>
    <dataValidation type="list" allowBlank="1" showInputMessage="1" showErrorMessage="1" sqref="B13" xr:uid="{66A221A2-F7EF-4AA9-98EE-2D0B4F263E79}">
      <formula1>$H$16:$H$22</formula1>
    </dataValidation>
    <dataValidation type="list" allowBlank="1" showInputMessage="1" showErrorMessage="1" sqref="B14" xr:uid="{24316588-DCC0-4216-97DE-F589C4CA79F8}">
      <formula1>$I$15:$K$15</formula1>
    </dataValidation>
    <dataValidation type="list" allowBlank="1" showInputMessage="1" showErrorMessage="1" sqref="B7" xr:uid="{661D12A1-0E5C-478F-B433-A82454705D25}">
      <formula1>$H$2:$H$4</formula1>
    </dataValidation>
    <dataValidation type="list" allowBlank="1" showInputMessage="1" showErrorMessage="1" sqref="B8" xr:uid="{517602D3-BB77-4EA8-8F3C-3C477A720F6D}">
      <formula1>$I$1:$J$1</formula1>
    </dataValidation>
    <dataValidation type="whole" allowBlank="1" showInputMessage="1" showErrorMessage="1" error="Annualised Premium cannot be less than Rs 50,000" sqref="B9" xr:uid="{56DCDF4D-860E-4184-87FD-715B782D9D0C}">
      <formula1>50000</formula1>
      <formula2>20000000000000000</formula2>
    </dataValidation>
    <dataValidation type="whole" allowBlank="1" showInputMessage="1" showErrorMessage="1" sqref="B3" xr:uid="{071AF83F-65B6-4FFC-AC3F-E24BC0DE778B}">
      <formula1>18</formula1>
      <formula2>IF(B7=7,50,IF(B7=10,55,60))</formula2>
    </dataValidation>
    <dataValidation type="whole" allowBlank="1" showInputMessage="1" showErrorMessage="1" sqref="B5" xr:uid="{8516B4B4-7B91-4B79-84D4-0119CE36EE3C}">
      <formula1>18</formula1>
      <formula2>100</formula2>
    </dataValidation>
    <dataValidation type="list" allowBlank="1" showInputMessage="1" showErrorMessage="1" sqref="B10" xr:uid="{304C5C53-9829-47B2-BC62-AB04E415F4CE}">
      <formula1>$H$10:$H$13</formula1>
    </dataValidation>
    <dataValidation type="list" allowBlank="1" showInputMessage="1" showErrorMessage="1" sqref="B12" xr:uid="{64140011-7955-4FA1-8675-93C92C902F27}">
      <formula1>"Yes,No"</formula1>
    </dataValidation>
    <dataValidation type="list" allowBlank="1" showInputMessage="1" showErrorMessage="1" sqref="B24" xr:uid="{D770B970-9FC9-428D-9460-2433D96C729A}">
      <formula1>"Male, Female, Third Gender"</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X76"/>
  <sheetViews>
    <sheetView workbookViewId="0">
      <selection sqref="A1:I1"/>
    </sheetView>
  </sheetViews>
  <sheetFormatPr defaultRowHeight="14.5"/>
  <cols>
    <col min="1" max="1" width="16.26953125" bestFit="1" customWidth="1"/>
    <col min="2" max="2" width="8.54296875" bestFit="1" customWidth="1"/>
    <col min="3" max="3" width="10.7265625" customWidth="1"/>
    <col min="4" max="4" width="11.1796875" customWidth="1"/>
    <col min="5" max="5" width="12.453125" customWidth="1"/>
    <col min="6" max="6" width="14.54296875" customWidth="1"/>
    <col min="7" max="7" width="16.81640625" customWidth="1"/>
    <col min="8" max="8" width="14.81640625" customWidth="1"/>
    <col min="9" max="9" width="13.7265625" bestFit="1" customWidth="1"/>
    <col min="11" max="11" width="9.1796875" bestFit="1" customWidth="1"/>
    <col min="12" max="12" width="10.1796875" bestFit="1" customWidth="1"/>
    <col min="13" max="13" width="9" bestFit="1" customWidth="1"/>
    <col min="14" max="14" width="9.54296875" bestFit="1" customWidth="1"/>
    <col min="15" max="16" width="9" bestFit="1" customWidth="1"/>
    <col min="18" max="18" width="9" bestFit="1" customWidth="1"/>
    <col min="19" max="19" width="9.54296875" bestFit="1" customWidth="1"/>
    <col min="20" max="20" width="8.81640625" bestFit="1" customWidth="1"/>
    <col min="21" max="24" width="11.54296875" bestFit="1" customWidth="1"/>
  </cols>
  <sheetData>
    <row r="1" spans="1:9">
      <c r="A1" s="193" t="s">
        <v>0</v>
      </c>
      <c r="B1" s="193"/>
      <c r="C1" s="193"/>
      <c r="D1" s="193"/>
      <c r="E1" s="193"/>
      <c r="F1" s="193"/>
      <c r="G1" s="193"/>
      <c r="H1" s="193"/>
      <c r="I1" s="193"/>
    </row>
    <row r="2" spans="1:9">
      <c r="A2" s="194" t="s">
        <v>1</v>
      </c>
      <c r="B2" s="194"/>
      <c r="C2" s="194"/>
      <c r="D2" s="194"/>
      <c r="E2" s="194"/>
      <c r="F2" s="194"/>
      <c r="G2" s="194"/>
      <c r="H2" s="194"/>
      <c r="I2" s="194"/>
    </row>
    <row r="3" spans="1:9">
      <c r="A3" s="57"/>
      <c r="B3" s="57"/>
      <c r="C3" s="57"/>
      <c r="D3" s="57"/>
      <c r="E3" s="57"/>
      <c r="F3" s="57"/>
      <c r="G3" s="57"/>
      <c r="H3" s="57"/>
      <c r="I3" s="57"/>
    </row>
    <row r="4" spans="1:9">
      <c r="A4" s="195" t="s">
        <v>2</v>
      </c>
      <c r="B4" s="196"/>
      <c r="C4" s="197" t="str">
        <f>Input!$B$6</f>
        <v>XYZ</v>
      </c>
      <c r="D4" s="197"/>
      <c r="E4" s="195" t="s">
        <v>3</v>
      </c>
      <c r="F4" s="196"/>
      <c r="G4" s="198"/>
      <c r="H4" s="198"/>
      <c r="I4" s="181"/>
    </row>
    <row r="5" spans="1:9">
      <c r="A5" s="188" t="s">
        <v>4</v>
      </c>
      <c r="B5" s="189"/>
      <c r="C5" s="125">
        <f>Input!$B$5</f>
        <v>35</v>
      </c>
      <c r="D5" s="125"/>
      <c r="E5" s="188" t="s">
        <v>5</v>
      </c>
      <c r="F5" s="189"/>
      <c r="G5" s="190" t="s">
        <v>118</v>
      </c>
      <c r="H5" s="190"/>
      <c r="I5" s="191"/>
    </row>
    <row r="6" spans="1:9">
      <c r="A6" s="188" t="s">
        <v>6</v>
      </c>
      <c r="B6" s="189"/>
      <c r="C6" s="125" t="str">
        <f>Input!B4</f>
        <v>ABC</v>
      </c>
      <c r="D6" s="125"/>
      <c r="E6" s="188" t="s">
        <v>7</v>
      </c>
      <c r="F6" s="189"/>
      <c r="G6" s="190" t="s">
        <v>8</v>
      </c>
      <c r="H6" s="190"/>
      <c r="I6" s="191"/>
    </row>
    <row r="7" spans="1:9">
      <c r="A7" s="188" t="s">
        <v>4</v>
      </c>
      <c r="B7" s="189"/>
      <c r="C7" s="192">
        <f>iAGE</f>
        <v>35</v>
      </c>
      <c r="D7" s="125"/>
      <c r="E7" s="188"/>
      <c r="F7" s="189"/>
      <c r="G7" s="190"/>
      <c r="H7" s="190"/>
      <c r="I7" s="191"/>
    </row>
    <row r="8" spans="1:9">
      <c r="A8" s="188" t="s">
        <v>9</v>
      </c>
      <c r="B8" s="189"/>
      <c r="C8" s="125">
        <f>iBP</f>
        <v>25</v>
      </c>
      <c r="D8" s="125"/>
      <c r="E8" s="188" t="s">
        <v>10</v>
      </c>
      <c r="F8" s="189"/>
      <c r="G8" s="190" t="s">
        <v>129</v>
      </c>
      <c r="H8" s="190"/>
      <c r="I8" s="191"/>
    </row>
    <row r="9" spans="1:9">
      <c r="A9" s="188" t="s">
        <v>11</v>
      </c>
      <c r="B9" s="189"/>
      <c r="C9" s="125">
        <f>iPRM_PP</f>
        <v>12</v>
      </c>
      <c r="D9" s="125"/>
      <c r="E9" s="188" t="s">
        <v>12</v>
      </c>
      <c r="F9" s="189"/>
      <c r="G9" s="172" t="s">
        <v>13</v>
      </c>
      <c r="H9" s="172"/>
      <c r="I9" s="59">
        <v>0</v>
      </c>
    </row>
    <row r="10" spans="1:9">
      <c r="A10" s="188" t="s">
        <v>14</v>
      </c>
      <c r="B10" s="189"/>
      <c r="C10" s="192">
        <f>IP</f>
        <v>4403</v>
      </c>
      <c r="D10" s="125"/>
      <c r="E10" s="188"/>
      <c r="F10" s="189"/>
      <c r="G10" s="172" t="s">
        <v>15</v>
      </c>
      <c r="H10" s="172"/>
      <c r="I10" s="60">
        <v>0</v>
      </c>
    </row>
    <row r="11" spans="1:9">
      <c r="A11" s="173" t="s">
        <v>16</v>
      </c>
      <c r="B11" s="131"/>
      <c r="C11" s="174" t="str">
        <f>Input!B10</f>
        <v>Monthly</v>
      </c>
      <c r="D11" s="174"/>
      <c r="E11" s="61"/>
      <c r="F11" s="62"/>
      <c r="G11" s="63"/>
      <c r="H11" s="63"/>
      <c r="I11" s="64"/>
    </row>
    <row r="12" spans="1:9">
      <c r="A12" s="57"/>
      <c r="B12" s="57"/>
      <c r="C12" s="57"/>
      <c r="D12" s="57"/>
      <c r="E12" s="57"/>
      <c r="F12" s="57"/>
      <c r="G12" s="57"/>
      <c r="H12" s="57"/>
      <c r="I12" s="57"/>
    </row>
    <row r="13" spans="1:9">
      <c r="A13" s="125" t="s">
        <v>17</v>
      </c>
      <c r="B13" s="125"/>
      <c r="C13" s="125"/>
      <c r="D13" s="125"/>
      <c r="E13" s="125"/>
      <c r="F13" s="125"/>
      <c r="G13" s="125"/>
      <c r="H13" s="125"/>
      <c r="I13" s="125"/>
    </row>
    <row r="14" spans="1:9" ht="15" thickBot="1">
      <c r="A14" s="58"/>
      <c r="B14" s="58"/>
      <c r="C14" s="58"/>
      <c r="D14" s="58"/>
      <c r="E14" s="58"/>
      <c r="F14" s="58"/>
      <c r="G14" s="58"/>
      <c r="H14" s="58"/>
      <c r="I14" s="58"/>
    </row>
    <row r="15" spans="1:9">
      <c r="A15" s="175" t="s">
        <v>18</v>
      </c>
      <c r="B15" s="176"/>
      <c r="C15" s="176"/>
      <c r="D15" s="176"/>
      <c r="E15" s="176"/>
      <c r="F15" s="176"/>
      <c r="G15" s="176"/>
      <c r="H15" s="176"/>
      <c r="I15" s="177"/>
    </row>
    <row r="16" spans="1:9">
      <c r="A16" s="159" t="s">
        <v>127</v>
      </c>
      <c r="B16" s="157" t="str">
        <f>Input!B2</f>
        <v>Twin Income</v>
      </c>
      <c r="C16" s="180" t="s">
        <v>19</v>
      </c>
      <c r="D16" s="181"/>
      <c r="E16" s="184" t="s">
        <v>20</v>
      </c>
      <c r="F16" s="185"/>
      <c r="G16" s="186">
        <f>SA</f>
        <v>520200</v>
      </c>
      <c r="H16" s="186"/>
      <c r="I16" s="187"/>
    </row>
    <row r="17" spans="1:24" ht="25.5" customHeight="1" thickBot="1">
      <c r="A17" s="178"/>
      <c r="B17" s="179"/>
      <c r="C17" s="182"/>
      <c r="D17" s="183"/>
      <c r="E17" s="168" t="s">
        <v>21</v>
      </c>
      <c r="F17" s="169"/>
      <c r="G17" s="170">
        <f>SA</f>
        <v>520200</v>
      </c>
      <c r="H17" s="170"/>
      <c r="I17" s="171"/>
    </row>
    <row r="18" spans="1:24" ht="15" thickBot="1">
      <c r="A18" s="57"/>
      <c r="B18" s="57"/>
      <c r="C18" s="57"/>
      <c r="D18" s="57"/>
      <c r="E18" s="57"/>
      <c r="F18" s="57"/>
      <c r="G18" s="57"/>
      <c r="H18" s="57"/>
      <c r="I18" s="57"/>
    </row>
    <row r="19" spans="1:24" ht="15" thickBot="1">
      <c r="A19" s="153" t="s">
        <v>22</v>
      </c>
      <c r="B19" s="154"/>
      <c r="C19" s="154"/>
      <c r="D19" s="154"/>
      <c r="E19" s="154"/>
      <c r="F19" s="154"/>
      <c r="G19" s="154"/>
      <c r="H19" s="154"/>
      <c r="I19" s="155"/>
    </row>
    <row r="20" spans="1:24" ht="15" customHeight="1">
      <c r="A20" s="158"/>
      <c r="B20" s="156"/>
      <c r="C20" s="156"/>
      <c r="D20" s="156"/>
      <c r="E20" s="156"/>
      <c r="F20" s="156" t="s">
        <v>19</v>
      </c>
      <c r="G20" s="166" t="s">
        <v>97</v>
      </c>
      <c r="H20" s="162" t="s">
        <v>23</v>
      </c>
      <c r="I20" s="163"/>
    </row>
    <row r="21" spans="1:24">
      <c r="A21" s="159"/>
      <c r="B21" s="157"/>
      <c r="C21" s="157"/>
      <c r="D21" s="157"/>
      <c r="E21" s="157"/>
      <c r="F21" s="157"/>
      <c r="G21" s="167"/>
      <c r="H21" s="164"/>
      <c r="I21" s="165"/>
    </row>
    <row r="22" spans="1:24" ht="14.5" customHeight="1">
      <c r="A22" s="151" t="s">
        <v>24</v>
      </c>
      <c r="B22" s="152"/>
      <c r="C22" s="152"/>
      <c r="D22" s="152"/>
      <c r="E22" s="152"/>
      <c r="F22" s="65">
        <f>IP</f>
        <v>4403</v>
      </c>
      <c r="G22" s="66" t="s">
        <v>107</v>
      </c>
      <c r="H22" s="160">
        <f>F22</f>
        <v>4403</v>
      </c>
      <c r="I22" s="161"/>
    </row>
    <row r="23" spans="1:24" ht="14.5" customHeight="1">
      <c r="A23" s="151" t="s">
        <v>25</v>
      </c>
      <c r="B23" s="152"/>
      <c r="C23" s="152"/>
      <c r="D23" s="152"/>
      <c r="E23" s="152"/>
      <c r="F23" s="65">
        <f>F22*I9+F22</f>
        <v>4403</v>
      </c>
      <c r="G23" s="66" t="s">
        <v>107</v>
      </c>
      <c r="H23" s="160">
        <f>F23</f>
        <v>4403</v>
      </c>
      <c r="I23" s="161"/>
    </row>
    <row r="24" spans="1:24" ht="15" customHeight="1" thickBot="1">
      <c r="A24" s="147" t="s">
        <v>26</v>
      </c>
      <c r="B24" s="148"/>
      <c r="C24" s="148"/>
      <c r="D24" s="148"/>
      <c r="E24" s="148"/>
      <c r="F24" s="67">
        <f>F22*I10+F22</f>
        <v>4403</v>
      </c>
      <c r="G24" s="68" t="s">
        <v>107</v>
      </c>
      <c r="H24" s="145">
        <f>F24</f>
        <v>4403</v>
      </c>
      <c r="I24" s="146"/>
    </row>
    <row r="25" spans="1:24">
      <c r="A25" s="57"/>
      <c r="B25" s="57"/>
      <c r="C25" s="57"/>
      <c r="D25" s="57"/>
      <c r="E25" s="57"/>
      <c r="F25" s="57"/>
      <c r="G25" s="57"/>
      <c r="H25" s="57"/>
      <c r="I25" s="57"/>
      <c r="R25" s="121"/>
      <c r="S25" s="121"/>
    </row>
    <row r="26" spans="1:24" ht="15" thickBot="1">
      <c r="A26" s="69"/>
      <c r="B26" s="69"/>
      <c r="C26" s="69"/>
      <c r="D26" s="69"/>
      <c r="E26" s="69"/>
      <c r="F26" s="57"/>
      <c r="G26" s="69"/>
      <c r="H26" s="69"/>
      <c r="I26" s="70" t="s">
        <v>27</v>
      </c>
    </row>
    <row r="27" spans="1:24" ht="15" thickBot="1">
      <c r="A27" s="140" t="s">
        <v>28</v>
      </c>
      <c r="B27" s="140" t="s">
        <v>29</v>
      </c>
      <c r="C27" s="142" t="s">
        <v>30</v>
      </c>
      <c r="D27" s="143"/>
      <c r="E27" s="143"/>
      <c r="F27" s="143"/>
      <c r="G27" s="144"/>
      <c r="H27" s="71" t="s">
        <v>31</v>
      </c>
      <c r="I27" s="149" t="s">
        <v>95</v>
      </c>
    </row>
    <row r="28" spans="1:24" ht="32" thickBot="1">
      <c r="A28" s="141"/>
      <c r="B28" s="141"/>
      <c r="C28" s="72" t="s">
        <v>109</v>
      </c>
      <c r="D28" s="73" t="s">
        <v>96</v>
      </c>
      <c r="E28" s="73" t="s">
        <v>32</v>
      </c>
      <c r="F28" s="74" t="s">
        <v>33</v>
      </c>
      <c r="G28" s="75" t="s">
        <v>93</v>
      </c>
      <c r="H28" s="76" t="s">
        <v>94</v>
      </c>
      <c r="I28" s="150"/>
    </row>
    <row r="29" spans="1:24">
      <c r="A29" s="77">
        <v>1</v>
      </c>
      <c r="B29" s="78">
        <f t="shared" ref="B29:B43" si="0">IF(A29&gt;iPRM_PP,"",iPRM)</f>
        <v>50000</v>
      </c>
      <c r="C29" s="77">
        <f ca="1">IF(A29&gt;iBP,"",IF(A29&lt;Income_ST,0,IF(OR(Input!$D$2=1,Input!$D$2=2),iPRM*GI,iPRM*OFFSET(Input!$S$3,Output!A29,Input!$D$7)))+IF(Input!$D$2=2,IF(AND(A29&gt;=In_St_Yr,A29&lt;=Income_End),GI*iPRM*In_GI*(A29-(In_St_Yr-1)))))</f>
        <v>0</v>
      </c>
      <c r="D29" s="79">
        <f>IF(A29&gt;iBP,"",IF(Input!$D$2=1,IF(AND(A29&gt;=In_St_Yr,A29&lt;=Income_End),SUM(Output!$C$28:C28)*In_GI,IF(A29&gt;=Income_End,D28,0)),0))</f>
        <v>0</v>
      </c>
      <c r="E29" s="80">
        <f t="shared" ref="E29:E53" si="1">IF(A29&gt;iBP,"",IF(A29=iBP,MB,0))</f>
        <v>0</v>
      </c>
      <c r="F29" s="80">
        <f ca="1">IF(A29&gt;iBP,"",MAX(SA,Output!I29,1.05*(Input!$B$11*IF(Output!A29&gt;iPRM_PP,iPRM_PP,Output!A29))))</f>
        <v>520200</v>
      </c>
      <c r="G29" s="78">
        <f ca="1">IF(A29&gt;iBP,"",MAX(0,(((Input!$B$11*IF(Output!A29&gt;iPRM_PP,iPRM_PP,Output!A29))*OFFSET(SF!$A$3,Output!A29,Input!$D$7))-SUM($C$29:C29)-SUM($D$29:D29))))</f>
        <v>0</v>
      </c>
      <c r="H29" s="77">
        <f ca="1">IF(A29&gt;iBP,"",SUM($B$29:B29)/SUM($B$29:$B$40)*MB*OFFSET(SF!$AC$3,A29,Input!$D$7)+(SUM($B$29:B29)/SUM($B$29:$B$40)*(IF(Input!$D$2=1,Output!C29+Output!D29,GI*iPRM)))*OFFSET(IF(Input!$D$2=1,SF!$H$3,IF(Input!$D$2=2,SF!$O$3,SF!$V$3)),A29,Input!$D$7))</f>
        <v>24615.231666666667</v>
      </c>
      <c r="I29" s="81">
        <f t="shared" ref="I29:I53" ca="1" si="2">IF(A29&gt;iBP,"",MAX(G29,H29))</f>
        <v>24615.231666666667</v>
      </c>
      <c r="K29" s="119"/>
      <c r="L29" s="119"/>
      <c r="M29" s="119"/>
      <c r="N29" s="119"/>
      <c r="O29" s="119"/>
      <c r="P29" s="119"/>
      <c r="R29" s="121"/>
      <c r="S29" s="121"/>
      <c r="T29" s="121"/>
      <c r="U29" s="121"/>
      <c r="V29" s="121"/>
      <c r="W29" s="121"/>
      <c r="X29" s="119"/>
    </row>
    <row r="30" spans="1:24">
      <c r="A30" s="82">
        <f>A29+1</f>
        <v>2</v>
      </c>
      <c r="B30" s="83">
        <f t="shared" si="0"/>
        <v>50000</v>
      </c>
      <c r="C30" s="77">
        <f ca="1">IF(A30&gt;iBP,"",IF(A30&lt;Income_ST,0,IF(OR(Input!$D$2=1,Input!$D$2=2),iPRM*GI,iPRM*OFFSET(Input!$S$3,Output!A30,Input!$D$7)))+IF(Input!$D$2=2,IF(AND(A30&gt;=In_St_Yr,A30&lt;=Income_End),GI*iPRM*In_GI*(A30-(In_St_Yr-1)))))</f>
        <v>0</v>
      </c>
      <c r="D30" s="79">
        <f>IF(A30&gt;iBP,"",IF(Input!$D$2=1,IF(AND(A30&gt;=In_St_Yr,A30&lt;=Income_End),SUM(Output!$C$28:C29)*In_GI,IF(A30&gt;=Income_End,D29,0)),0))</f>
        <v>0</v>
      </c>
      <c r="E30" s="80">
        <f t="shared" si="1"/>
        <v>0</v>
      </c>
      <c r="F30" s="80">
        <f ca="1">IF(A30&gt;iBP,"",MAX(SA,Output!I30,1.05*(Input!$B$11*IF(Output!A30&gt;iPRM_PP,iPRM_PP,Output!A30))))</f>
        <v>520200</v>
      </c>
      <c r="G30" s="78">
        <f ca="1">IF(A30&gt;iBP,"",MAX(0,(((Input!$B$11*IF(Output!A30&gt;iPRM_PP,iPRM_PP,Output!A30))*OFFSET(SF!$A$3,Output!A30,Input!$D$7))-SUM($C$29:C30)-SUM($D$29:D30))))</f>
        <v>36414</v>
      </c>
      <c r="H30" s="77">
        <f ca="1">IF(A30&gt;iBP,"",SUM($B$29:B30)/SUM($B$29:$B$40)*MB*OFFSET(SF!$AC$3,A30,Input!$D$7)+(SUM($B$29:B30)/SUM($B$29:$B$40)*(IF(Input!$D$2=1,Output!C30+Output!D30,GI*iPRM)))*OFFSET(IF(Input!$D$2=1,SF!$H$3,IF(Input!$D$2=2,SF!$O$3,SF!$V$3)),A30,Input!$D$7))</f>
        <v>49230.463333333333</v>
      </c>
      <c r="I30" s="81">
        <f t="shared" ca="1" si="2"/>
        <v>49230.463333333333</v>
      </c>
      <c r="K30" s="119"/>
      <c r="L30" s="119"/>
      <c r="M30" s="119"/>
      <c r="N30" s="119"/>
      <c r="O30" s="119"/>
      <c r="P30" s="119"/>
      <c r="R30" s="121"/>
      <c r="S30" s="121"/>
      <c r="T30" s="121"/>
      <c r="U30" s="121"/>
      <c r="V30" s="121"/>
      <c r="W30" s="121"/>
      <c r="X30" s="119"/>
    </row>
    <row r="31" spans="1:24">
      <c r="A31" s="82">
        <f t="shared" ref="A31:A53" si="3">A30+1</f>
        <v>3</v>
      </c>
      <c r="B31" s="83">
        <f t="shared" si="0"/>
        <v>50000</v>
      </c>
      <c r="C31" s="77">
        <f ca="1">IF(A31&gt;iBP,"",IF(A31&lt;Income_ST,0,IF(OR(Input!$D$2=1,Input!$D$2=2),iPRM*GI,iPRM*OFFSET(Input!$S$3,Output!A31,Input!$D$7)))+IF(Input!$D$2=2,IF(AND(A31&gt;=In_St_Yr,A31&lt;=Income_End),GI*iPRM*In_GI*(A31-(In_St_Yr-1)))))</f>
        <v>0</v>
      </c>
      <c r="D31" s="79">
        <f>IF(A31&gt;iBP,"",IF(Input!$D$2=1,IF(AND(A31&gt;=In_St_Yr,A31&lt;=Income_End),SUM(Output!$C$28:C30)*In_GI,IF(A31&gt;=Income_End,D30,0)),0))</f>
        <v>0</v>
      </c>
      <c r="E31" s="80">
        <f t="shared" si="1"/>
        <v>0</v>
      </c>
      <c r="F31" s="80">
        <f ca="1">IF(A31&gt;iBP,"",MAX(SA,Output!I31,1.05*(Input!$B$11*IF(Output!A31&gt;iPRM_PP,iPRM_PP,Output!A31))))</f>
        <v>520200</v>
      </c>
      <c r="G31" s="78">
        <f ca="1">IF(A31&gt;iBP,"",MAX(0,(((Input!$B$11*IF(Output!A31&gt;iPRM_PP,iPRM_PP,Output!A31))*OFFSET(SF!$A$3,Output!A31,Input!$D$7))-SUM($C$29:C31)-SUM($D$29:D31))))</f>
        <v>54621</v>
      </c>
      <c r="H31" s="77">
        <f ca="1">IF(A31&gt;iBP,"",SUM($B$29:B31)/SUM($B$29:$B$40)*MB*OFFSET(SF!$AC$3,A31,Input!$D$7)+(SUM($B$29:B31)/SUM($B$29:$B$40)*(IF(Input!$D$2=1,Output!C31+Output!D31,GI*iPRM)))*OFFSET(IF(Input!$D$2=1,SF!$H$3,IF(Input!$D$2=2,SF!$O$3,SF!$V$3)),A31,Input!$D$7))</f>
        <v>79102.94</v>
      </c>
      <c r="I31" s="81">
        <f t="shared" ca="1" si="2"/>
        <v>79102.94</v>
      </c>
      <c r="K31" s="119"/>
      <c r="L31" s="119"/>
      <c r="M31" s="119"/>
      <c r="N31" s="119"/>
      <c r="O31" s="119"/>
      <c r="P31" s="119"/>
      <c r="R31" s="121"/>
      <c r="S31" s="121"/>
      <c r="T31" s="121"/>
      <c r="U31" s="121"/>
      <c r="V31" s="121"/>
      <c r="W31" s="121"/>
      <c r="X31" s="119"/>
    </row>
    <row r="32" spans="1:24">
      <c r="A32" s="82">
        <f t="shared" si="3"/>
        <v>4</v>
      </c>
      <c r="B32" s="83">
        <f t="shared" si="0"/>
        <v>50000</v>
      </c>
      <c r="C32" s="77">
        <f ca="1">IF(A32&gt;iBP,"",IF(A32&lt;Income_ST,0,IF(OR(Input!$D$2=1,Input!$D$2=2),iPRM*GI,iPRM*OFFSET(Input!$S$3,Output!A32,Input!$D$7)))+IF(Input!$D$2=2,IF(AND(A32&gt;=In_St_Yr,A32&lt;=Income_End),GI*iPRM*In_GI*(A32-(In_St_Yr-1)))))</f>
        <v>0</v>
      </c>
      <c r="D32" s="79">
        <f>IF(A32&gt;iBP,"",IF(Input!$D$2=1,IF(AND(A32&gt;=In_St_Yr,A32&lt;=Income_End),SUM(Output!$C$28:C31)*In_GI,IF(A32&gt;=Income_End,D31,0)),0))</f>
        <v>0</v>
      </c>
      <c r="E32" s="80">
        <f t="shared" si="1"/>
        <v>0</v>
      </c>
      <c r="F32" s="80">
        <f ca="1">IF(A32&gt;iBP,"",MAX(SA,Output!I32,1.05*(Input!$B$11*IF(Output!A32&gt;iPRM_PP,iPRM_PP,Output!A32))))</f>
        <v>520200</v>
      </c>
      <c r="G32" s="78">
        <f ca="1">IF(A32&gt;iBP,"",MAX(0,(((Input!$B$11*IF(Output!A32&gt;iPRM_PP,iPRM_PP,Output!A32))*OFFSET(SF!$A$3,Output!A32,Input!$D$7))-SUM($C$29:C32)-SUM($D$29:D32))))</f>
        <v>104040</v>
      </c>
      <c r="H32" s="77">
        <f ca="1">IF(A32&gt;iBP,"",SUM($B$29:B32)/SUM($B$29:$B$40)*MB*OFFSET(SF!$AC$3,A32,Input!$D$7)+(SUM($B$29:B32)/SUM($B$29:$B$40)*(IF(Input!$D$2=1,Output!C32+Output!D32,GI*iPRM)))*OFFSET(IF(Input!$D$2=1,SF!$H$3,IF(Input!$D$2=2,SF!$O$3,SF!$V$3)),A32,Input!$D$7))</f>
        <v>112940.47333333333</v>
      </c>
      <c r="I32" s="81">
        <f t="shared" ca="1" si="2"/>
        <v>112940.47333333333</v>
      </c>
      <c r="K32" s="119"/>
      <c r="L32" s="119"/>
      <c r="M32" s="119"/>
      <c r="N32" s="119"/>
      <c r="O32" s="119"/>
      <c r="P32" s="119"/>
      <c r="R32" s="121"/>
      <c r="S32" s="121"/>
      <c r="T32" s="121"/>
      <c r="U32" s="121"/>
      <c r="V32" s="121"/>
      <c r="W32" s="121"/>
      <c r="X32" s="119"/>
    </row>
    <row r="33" spans="1:24">
      <c r="A33" s="82">
        <f t="shared" si="3"/>
        <v>5</v>
      </c>
      <c r="B33" s="83">
        <f t="shared" si="0"/>
        <v>50000</v>
      </c>
      <c r="C33" s="77">
        <f ca="1">IF(A33&gt;iBP,"",IF(A33&lt;Income_ST,0,IF(OR(Input!$D$2=1,Input!$D$2=2),iPRM*GI,iPRM*OFFSET(Input!$S$3,Output!A33,Input!$D$7)))+IF(Input!$D$2=2,IF(AND(A33&gt;=In_St_Yr,A33&lt;=Income_End),GI*iPRM*In_GI*(A33-(In_St_Yr-1)))))</f>
        <v>0</v>
      </c>
      <c r="D33" s="79">
        <f>IF(A33&gt;iBP,"",IF(Input!$D$2=1,IF(AND(A33&gt;=In_St_Yr,A33&lt;=Income_End),SUM(Output!$C$28:C32)*In_GI,IF(A33&gt;=Income_End,D32,0)),0))</f>
        <v>0</v>
      </c>
      <c r="E33" s="80">
        <f t="shared" si="1"/>
        <v>0</v>
      </c>
      <c r="F33" s="80">
        <f ca="1">IF(A33&gt;iBP,"",MAX(SA,Output!I33,1.05*(Input!$B$11*IF(Output!A33&gt;iPRM_PP,iPRM_PP,Output!A33))))</f>
        <v>520200</v>
      </c>
      <c r="G33" s="78">
        <f ca="1">IF(A33&gt;iBP,"",MAX(0,(((Input!$B$11*IF(Output!A33&gt;iPRM_PP,iPRM_PP,Output!A33))*OFFSET(SF!$A$3,Output!A33,Input!$D$7))-SUM($C$29:C33)-SUM($D$29:D33))))</f>
        <v>130050</v>
      </c>
      <c r="H33" s="77">
        <f ca="1">IF(A33&gt;iBP,"",SUM($B$29:B33)/SUM($B$29:$B$40)*MB*OFFSET(SF!$AC$3,A33,Input!$D$7)+(SUM($B$29:B33)/SUM($B$29:$B$40)*(IF(Input!$D$2=1,Output!C33+Output!D33,GI*iPRM)))*OFFSET(IF(Input!$D$2=1,SF!$H$3,IF(Input!$D$2=2,SF!$O$3,SF!$V$3)),A33,Input!$D$7))</f>
        <v>151228.49583333335</v>
      </c>
      <c r="I33" s="81">
        <f t="shared" ca="1" si="2"/>
        <v>151228.49583333335</v>
      </c>
      <c r="K33" s="119"/>
      <c r="L33" s="119"/>
      <c r="M33" s="119"/>
      <c r="N33" s="119"/>
      <c r="O33" s="119"/>
      <c r="P33" s="119"/>
      <c r="R33" s="121"/>
      <c r="S33" s="121"/>
      <c r="T33" s="121"/>
      <c r="U33" s="121"/>
      <c r="V33" s="121"/>
      <c r="W33" s="121"/>
      <c r="X33" s="119"/>
    </row>
    <row r="34" spans="1:24">
      <c r="A34" s="82">
        <f t="shared" si="3"/>
        <v>6</v>
      </c>
      <c r="B34" s="83">
        <f t="shared" si="0"/>
        <v>50000</v>
      </c>
      <c r="C34" s="77">
        <f ca="1">IF(A34&gt;iBP,"",IF(A34&lt;Income_ST,0,IF(OR(Input!$D$2=1,Input!$D$2=2),iPRM*GI,iPRM*OFFSET(Input!$S$3,Output!A34,Input!$D$7)))+IF(Input!$D$2=2,IF(AND(A34&gt;=In_St_Yr,A34&lt;=Income_End),GI*iPRM*In_GI*(A34-(In_St_Yr-1)))))</f>
        <v>0</v>
      </c>
      <c r="D34" s="79">
        <f>IF(A34&gt;iBP,"",IF(Input!$D$2=1,IF(AND(A34&gt;=In_St_Yr,A34&lt;=Income_End),SUM(Output!$C$28:C33)*In_GI,IF(A34&gt;=Income_End,D33,0)),0))</f>
        <v>0</v>
      </c>
      <c r="E34" s="80">
        <f t="shared" si="1"/>
        <v>0</v>
      </c>
      <c r="F34" s="80">
        <f ca="1">IF(A34&gt;iBP,"",MAX(SA,Output!I34,1.05*(Input!$B$11*IF(Output!A34&gt;iPRM_PP,iPRM_PP,Output!A34))))</f>
        <v>520200</v>
      </c>
      <c r="G34" s="78">
        <f ca="1">IF(A34&gt;iBP,"",MAX(0,(((Input!$B$11*IF(Output!A34&gt;iPRM_PP,iPRM_PP,Output!A34))*OFFSET(SF!$A$3,Output!A34,Input!$D$7))-SUM($C$29:C34)-SUM($D$29:D34))))</f>
        <v>156060</v>
      </c>
      <c r="H34" s="77">
        <f ca="1">IF(A34&gt;iBP,"",SUM($B$29:B34)/SUM($B$29:$B$40)*MB*OFFSET(SF!$AC$3,A34,Input!$D$7)+(SUM($B$29:B34)/SUM($B$29:$B$40)*(IF(Input!$D$2=1,Output!C34+Output!D34,GI*iPRM)))*OFFSET(IF(Input!$D$2=1,SF!$H$3,IF(Input!$D$2=2,SF!$O$3,SF!$V$3)),A34,Input!$D$7))</f>
        <v>194382.22999999998</v>
      </c>
      <c r="I34" s="81">
        <f t="shared" ca="1" si="2"/>
        <v>194382.22999999998</v>
      </c>
      <c r="K34" s="119"/>
      <c r="L34" s="119"/>
      <c r="M34" s="119"/>
      <c r="N34" s="119"/>
      <c r="O34" s="119"/>
      <c r="P34" s="119"/>
      <c r="R34" s="121"/>
      <c r="S34" s="121"/>
      <c r="T34" s="121"/>
      <c r="U34" s="121"/>
      <c r="V34" s="121"/>
      <c r="W34" s="121"/>
      <c r="X34" s="119"/>
    </row>
    <row r="35" spans="1:24">
      <c r="A35" s="82">
        <f t="shared" si="3"/>
        <v>7</v>
      </c>
      <c r="B35" s="83">
        <f t="shared" si="0"/>
        <v>50000</v>
      </c>
      <c r="C35" s="77">
        <f ca="1">IF(A35&gt;iBP,"",IF(A35&lt;Income_ST,0,IF(OR(Input!$D$2=1,Input!$D$2=2),iPRM*GI,iPRM*OFFSET(Input!$S$3,Output!A35,Input!$D$7)))+IF(Input!$D$2=2,IF(AND(A35&gt;=In_St_Yr,A35&lt;=Income_End),GI*iPRM*In_GI*(A35-(In_St_Yr-1)))))</f>
        <v>0</v>
      </c>
      <c r="D35" s="79">
        <f>IF(A35&gt;iBP,"",IF(Input!$D$2=1,IF(AND(A35&gt;=In_St_Yr,A35&lt;=Income_End),SUM(Output!$C$28:C34)*In_GI,IF(A35&gt;=Income_End,D34,0)),0))</f>
        <v>0</v>
      </c>
      <c r="E35" s="80">
        <f t="shared" si="1"/>
        <v>0</v>
      </c>
      <c r="F35" s="80">
        <f ca="1">IF(A35&gt;iBP,"",MAX(SA,Output!I35,1.05*(Input!$B$11*IF(Output!A35&gt;iPRM_PP,iPRM_PP,Output!A35))))</f>
        <v>520200</v>
      </c>
      <c r="G35" s="78">
        <f ca="1">IF(A35&gt;iBP,"",MAX(0,(((Input!$B$11*IF(Output!A35&gt;iPRM_PP,iPRM_PP,Output!A35))*OFFSET(SF!$A$3,Output!A35,Input!$D$7))-SUM($C$29:C35)-SUM($D$29:D35))))</f>
        <v>182070</v>
      </c>
      <c r="H35" s="77">
        <f ca="1">IF(A35&gt;iBP,"",SUM($B$29:B35)/SUM($B$29:$B$40)*MB*OFFSET(SF!$AC$3,A35,Input!$D$7)+(SUM($B$29:B35)/SUM($B$29:$B$40)*(IF(Input!$D$2=1,Output!C35+Output!D35,GI*iPRM)))*OFFSET(IF(Input!$D$2=1,SF!$H$3,IF(Input!$D$2=2,SF!$O$3,SF!$V$3)),A35,Input!$D$7))</f>
        <v>242913.90666666668</v>
      </c>
      <c r="I35" s="81">
        <f t="shared" ca="1" si="2"/>
        <v>242913.90666666668</v>
      </c>
      <c r="K35" s="119"/>
      <c r="L35" s="119"/>
      <c r="M35" s="119"/>
      <c r="N35" s="119"/>
      <c r="O35" s="119"/>
      <c r="P35" s="119"/>
      <c r="R35" s="121"/>
      <c r="S35" s="121"/>
      <c r="T35" s="121"/>
      <c r="U35" s="121"/>
      <c r="V35" s="121"/>
      <c r="W35" s="121"/>
      <c r="X35" s="119"/>
    </row>
    <row r="36" spans="1:24">
      <c r="A36" s="82">
        <f t="shared" si="3"/>
        <v>8</v>
      </c>
      <c r="B36" s="83">
        <f t="shared" si="0"/>
        <v>50000</v>
      </c>
      <c r="C36" s="77">
        <f ca="1">IF(A36&gt;iBP,"",IF(A36&lt;Income_ST,0,IF(OR(Input!$D$2=1,Input!$D$2=2),iPRM*GI,iPRM*OFFSET(Input!$S$3,Output!A36,Input!$D$7)))+IF(Input!$D$2=2,IF(AND(A36&gt;=In_St_Yr,A36&lt;=Income_End),GI*iPRM*In_GI*(A36-(In_St_Yr-1)))))</f>
        <v>0</v>
      </c>
      <c r="D36" s="79">
        <f>IF(A36&gt;iBP,"",IF(Input!$D$2=1,IF(AND(A36&gt;=In_St_Yr,A36&lt;=Income_End),SUM(Output!$C$28:C35)*In_GI,IF(A36&gt;=Income_End,D35,0)),0))</f>
        <v>0</v>
      </c>
      <c r="E36" s="80">
        <f t="shared" si="1"/>
        <v>0</v>
      </c>
      <c r="F36" s="80">
        <f ca="1">IF(A36&gt;iBP,"",MAX(SA,Output!I36,1.05*(Input!$B$11*IF(Output!A36&gt;iPRM_PP,iPRM_PP,Output!A36))))</f>
        <v>520200</v>
      </c>
      <c r="G36" s="78">
        <f ca="1">IF(A36&gt;iBP,"",MAX(0,(((Input!$B$11*IF(Output!A36&gt;iPRM_PP,iPRM_PP,Output!A36))*OFFSET(SF!$A$3,Output!A36,Input!$D$7))-SUM($C$29:C36)-SUM($D$29:D36))))</f>
        <v>217859.75999999998</v>
      </c>
      <c r="H36" s="77">
        <f ca="1">IF(A36&gt;iBP,"",SUM($B$29:B36)/SUM($B$29:$B$40)*MB*OFFSET(SF!$AC$3,A36,Input!$D$7)+(SUM($B$29:B36)/SUM($B$29:$B$40)*(IF(Input!$D$2=1,Output!C36+Output!D36,GI*iPRM)))*OFFSET(IF(Input!$D$2=1,SF!$H$3,IF(Input!$D$2=2,SF!$O$3,SF!$V$3)),A36,Input!$D$7))</f>
        <v>297401.15999999997</v>
      </c>
      <c r="I36" s="81">
        <f t="shared" ca="1" si="2"/>
        <v>297401.15999999997</v>
      </c>
      <c r="K36" s="119"/>
      <c r="L36" s="119"/>
      <c r="M36" s="119"/>
      <c r="N36" s="119"/>
      <c r="O36" s="119"/>
      <c r="P36" s="119"/>
      <c r="R36" s="121"/>
      <c r="S36" s="121"/>
      <c r="T36" s="121"/>
      <c r="U36" s="121"/>
      <c r="V36" s="121"/>
      <c r="W36" s="121"/>
      <c r="X36" s="119"/>
    </row>
    <row r="37" spans="1:24">
      <c r="A37" s="82">
        <f t="shared" si="3"/>
        <v>9</v>
      </c>
      <c r="B37" s="83">
        <f t="shared" si="0"/>
        <v>50000</v>
      </c>
      <c r="C37" s="77">
        <f ca="1">IF(A37&gt;iBP,"",IF(A37&lt;Income_ST,0,IF(OR(Input!$D$2=1,Input!$D$2=2),iPRM*GI,iPRM*OFFSET(Input!$S$3,Output!A37,Input!$D$7)))+IF(Input!$D$2=2,IF(AND(A37&gt;=In_St_Yr,A37&lt;=Income_End),GI*iPRM*In_GI*(A37-(In_St_Yr-1)))))</f>
        <v>0</v>
      </c>
      <c r="D37" s="79">
        <f>IF(A37&gt;iBP,"",IF(Input!$D$2=1,IF(AND(A37&gt;=In_St_Yr,A37&lt;=Income_End),SUM(Output!$C$28:C36)*In_GI,IF(A37&gt;=Income_End,D36,0)),0))</f>
        <v>0</v>
      </c>
      <c r="E37" s="80">
        <f t="shared" si="1"/>
        <v>0</v>
      </c>
      <c r="F37" s="80">
        <f ca="1">IF(A37&gt;iBP,"",MAX(SA,Output!I37,1.05*(Input!$B$11*IF(Output!A37&gt;iPRM_PP,iPRM_PP,Output!A37))))</f>
        <v>520200</v>
      </c>
      <c r="G37" s="78">
        <f ca="1">IF(A37&gt;iBP,"",MAX(0,(((Input!$B$11*IF(Output!A37&gt;iPRM_PP,iPRM_PP,Output!A37))*OFFSET(SF!$A$3,Output!A37,Input!$D$7))-SUM($C$29:C37)-SUM($D$29:D37))))</f>
        <v>256141.27800000002</v>
      </c>
      <c r="H37" s="77">
        <f ca="1">IF(A37&gt;iBP,"",SUM($B$29:B37)/SUM($B$29:$B$40)*MB*OFFSET(SF!$AC$3,A37,Input!$D$7)+(SUM($B$29:B37)/SUM($B$29:$B$40)*(IF(Input!$D$2=1,Output!C37+Output!D37,GI*iPRM)))*OFFSET(IF(Input!$D$2=1,SF!$H$3,IF(Input!$D$2=2,SF!$O$3,SF!$V$3)),A37,Input!$D$7))</f>
        <v>358403.745</v>
      </c>
      <c r="I37" s="81">
        <f t="shared" ca="1" si="2"/>
        <v>358403.745</v>
      </c>
      <c r="K37" s="119"/>
      <c r="L37" s="119"/>
      <c r="M37" s="119"/>
      <c r="N37" s="119"/>
      <c r="O37" s="119"/>
      <c r="P37" s="119"/>
      <c r="R37" s="121"/>
      <c r="S37" s="121"/>
      <c r="T37" s="121"/>
      <c r="U37" s="121"/>
      <c r="V37" s="121"/>
      <c r="W37" s="121"/>
      <c r="X37" s="119"/>
    </row>
    <row r="38" spans="1:24">
      <c r="A38" s="82">
        <f t="shared" si="3"/>
        <v>10</v>
      </c>
      <c r="B38" s="83">
        <f t="shared" si="0"/>
        <v>50000</v>
      </c>
      <c r="C38" s="77">
        <f ca="1">IF(A38&gt;iBP,"",IF(A38&lt;Income_ST,0,IF(OR(Input!$D$2=1,Input!$D$2=2),iPRM*GI,iPRM*OFFSET(Input!$S$3,Output!A38,Input!$D$7)))+IF(Input!$D$2=2,IF(AND(A38&gt;=In_St_Yr,A38&lt;=Income_End),GI*iPRM*In_GI*(A38-(In_St_Yr-1)))))</f>
        <v>52500</v>
      </c>
      <c r="D38" s="79">
        <f>IF(A38&gt;iBP,"",IF(Input!$D$2=1,IF(AND(A38&gt;=In_St_Yr,A38&lt;=Income_End),SUM(Output!$C$28:C37)*In_GI,IF(A38&gt;=Income_End,D37,0)),0))</f>
        <v>0</v>
      </c>
      <c r="E38" s="80">
        <f t="shared" si="1"/>
        <v>0</v>
      </c>
      <c r="F38" s="80">
        <f ca="1">IF(A38&gt;iBP,"",MAX(SA,Output!I38,1.05*(Input!$B$11*IF(Output!A38&gt;iPRM_PP,iPRM_PP,Output!A38))))</f>
        <v>546210</v>
      </c>
      <c r="G38" s="78">
        <f ca="1">IF(A38&gt;iBP,"",MAX(0,(((Input!$B$11*IF(Output!A38&gt;iPRM_PP,iPRM_PP,Output!A38))*OFFSET(SF!$A$3,Output!A38,Input!$D$7))-SUM($C$29:C38)-SUM($D$29:D38))))</f>
        <v>244326.12</v>
      </c>
      <c r="H38" s="77">
        <f ca="1">IF(A38&gt;iBP,"",SUM($B$29:B38)/SUM($B$29:$B$40)*MB*OFFSET(SF!$AC$3,A38,Input!$D$7)+(SUM($B$29:B38)/SUM($B$29:$B$40)*(IF(Input!$D$2=1,Output!C38+Output!D38,GI*iPRM)))*OFFSET(IF(Input!$D$2=1,SF!$H$3,IF(Input!$D$2=2,SF!$O$3,SF!$V$3)),A38,Input!$D$7))</f>
        <v>426684.18333333335</v>
      </c>
      <c r="I38" s="81">
        <f t="shared" ca="1" si="2"/>
        <v>426684.18333333335</v>
      </c>
      <c r="K38" s="119"/>
      <c r="L38" s="119"/>
      <c r="M38" s="119"/>
      <c r="N38" s="119"/>
      <c r="O38" s="119"/>
      <c r="P38" s="119"/>
      <c r="R38" s="121"/>
      <c r="S38" s="121"/>
      <c r="T38" s="121"/>
      <c r="U38" s="121"/>
      <c r="V38" s="121"/>
      <c r="W38" s="121"/>
      <c r="X38" s="119"/>
    </row>
    <row r="39" spans="1:24">
      <c r="A39" s="82">
        <f t="shared" si="3"/>
        <v>11</v>
      </c>
      <c r="B39" s="83">
        <f t="shared" si="0"/>
        <v>50000</v>
      </c>
      <c r="C39" s="77">
        <f ca="1">IF(A39&gt;iBP,"",IF(A39&lt;Income_ST,0,IF(OR(Input!$D$2=1,Input!$D$2=2),iPRM*GI,iPRM*OFFSET(Input!$S$3,Output!A39,Input!$D$7)))+IF(Input!$D$2=2,IF(AND(A39&gt;=In_St_Yr,A39&lt;=Income_End),GI*iPRM*In_GI*(A39-(In_St_Yr-1)))))</f>
        <v>52500</v>
      </c>
      <c r="D39" s="79">
        <f>IF(A39&gt;iBP,"",IF(Input!$D$2=1,IF(AND(A39&gt;=In_St_Yr,A39&lt;=Income_End),SUM(Output!$C$28:C38)*In_GI,IF(A39&gt;=Income_End,D38,0)),0))</f>
        <v>0</v>
      </c>
      <c r="E39" s="80">
        <f t="shared" si="1"/>
        <v>0</v>
      </c>
      <c r="F39" s="80">
        <f ca="1">IF(A39&gt;iBP,"",MAX(SA,Output!I39,1.05*(Input!$B$11*IF(Output!A39&gt;iPRM_PP,iPRM_PP,Output!A39))))</f>
        <v>600831</v>
      </c>
      <c r="G39" s="78">
        <f ca="1">IF(A39&gt;iBP,"",MAX(0,(((Input!$B$11*IF(Output!A39&gt;iPRM_PP,iPRM_PP,Output!A39))*OFFSET(SF!$A$3,Output!A39,Input!$D$7))-SUM($C$29:C39)-SUM($D$29:D39))))</f>
        <v>234955.902</v>
      </c>
      <c r="H39" s="77">
        <f ca="1">IF(A39&gt;iBP,"",SUM($B$29:B39)/SUM($B$29:$B$40)*MB*OFFSET(SF!$AC$3,A39,Input!$D$7)+(SUM($B$29:B39)/SUM($B$29:$B$40)*(IF(Input!$D$2=1,Output!C39+Output!D39,GI*iPRM)))*OFFSET(IF(Input!$D$2=1,SF!$H$3,IF(Input!$D$2=2,SF!$O$3,SF!$V$3)),A39,Input!$D$7))</f>
        <v>454798.96</v>
      </c>
      <c r="I39" s="81">
        <f t="shared" ca="1" si="2"/>
        <v>454798.96</v>
      </c>
      <c r="K39" s="119"/>
      <c r="L39" s="119"/>
      <c r="M39" s="119"/>
      <c r="N39" s="119"/>
      <c r="O39" s="119"/>
      <c r="P39" s="119"/>
      <c r="R39" s="121"/>
      <c r="S39" s="121"/>
      <c r="T39" s="121"/>
      <c r="U39" s="121"/>
      <c r="V39" s="121"/>
      <c r="W39" s="121"/>
      <c r="X39" s="119"/>
    </row>
    <row r="40" spans="1:24">
      <c r="A40" s="82">
        <f t="shared" si="3"/>
        <v>12</v>
      </c>
      <c r="B40" s="83">
        <f t="shared" si="0"/>
        <v>50000</v>
      </c>
      <c r="C40" s="77">
        <f ca="1">IF(A40&gt;iBP,"",IF(A40&lt;Income_ST,0,IF(OR(Input!$D$2=1,Input!$D$2=2),iPRM*GI,iPRM*OFFSET(Input!$S$3,Output!A40,Input!$D$7)))+IF(Input!$D$2=2,IF(AND(A40&gt;=In_St_Yr,A40&lt;=Income_End),GI*iPRM*In_GI*(A40-(In_St_Yr-1)))))</f>
        <v>0</v>
      </c>
      <c r="D40" s="79">
        <f>IF(A40&gt;iBP,"",IF(Input!$D$2=1,IF(AND(A40&gt;=In_St_Yr,A40&lt;=Income_End),SUM(Output!$C$28:C39)*In_GI,IF(A40&gt;=Income_End,D39,0)),0))</f>
        <v>0</v>
      </c>
      <c r="E40" s="80">
        <f t="shared" si="1"/>
        <v>0</v>
      </c>
      <c r="F40" s="80">
        <f ca="1">IF(A40&gt;iBP,"",MAX(SA,Output!I40,1.05*(Input!$B$11*IF(Output!A40&gt;iPRM_PP,iPRM_PP,Output!A40))))</f>
        <v>655452</v>
      </c>
      <c r="G40" s="78">
        <f ca="1">IF(A40&gt;iBP,"",MAX(0,(((Input!$B$11*IF(Output!A40&gt;iPRM_PP,iPRM_PP,Output!A40))*OFFSET(SF!$A$3,Output!A40,Input!$D$7))-SUM($C$29:C40)-SUM($D$29:D40))))</f>
        <v>280530.62400000001</v>
      </c>
      <c r="H40" s="77">
        <f ca="1">IF(A40&gt;iBP,"",SUM($B$29:B40)/SUM($B$29:$B$40)*MB*OFFSET(SF!$AC$3,A40,Input!$D$7)+(SUM($B$29:B40)/SUM($B$29:$B$40)*(IF(Input!$D$2=1,Output!C40+Output!D40,GI*iPRM)))*OFFSET(IF(Input!$D$2=1,SF!$H$3,IF(Input!$D$2=2,SF!$O$3,SF!$V$3)),A40,Input!$D$7))</f>
        <v>478933.98</v>
      </c>
      <c r="I40" s="81">
        <f t="shared" ca="1" si="2"/>
        <v>478933.98</v>
      </c>
      <c r="K40" s="119"/>
      <c r="L40" s="119"/>
      <c r="M40" s="119"/>
      <c r="N40" s="119"/>
      <c r="O40" s="119"/>
      <c r="P40" s="119"/>
      <c r="R40" s="121"/>
      <c r="S40" s="121"/>
      <c r="T40" s="121"/>
      <c r="U40" s="121"/>
      <c r="V40" s="121"/>
      <c r="W40" s="121"/>
      <c r="X40" s="119"/>
    </row>
    <row r="41" spans="1:24">
      <c r="A41" s="82">
        <f t="shared" si="3"/>
        <v>13</v>
      </c>
      <c r="B41" s="83" t="str">
        <f t="shared" si="0"/>
        <v/>
      </c>
      <c r="C41" s="77">
        <f ca="1">IF(A41&gt;iBP,"",IF(A41&lt;Income_ST,0,IF(OR(Input!$D$2=1,Input!$D$2=2),iPRM*GI,iPRM*OFFSET(Input!$S$3,Output!A41,Input!$D$7)))+IF(Input!$D$2=2,IF(AND(A41&gt;=In_St_Yr,A41&lt;=Income_End),GI*iPRM*In_GI*(A41-(In_St_Yr-1)))))</f>
        <v>0</v>
      </c>
      <c r="D41" s="79">
        <f>IF(A41&gt;iBP,"",IF(Input!$D$2=1,IF(AND(A41&gt;=In_St_Yr,A41&lt;=Income_End),SUM(Output!$C$28:C40)*In_GI,IF(A41&gt;=Income_End,D40,0)),0))</f>
        <v>0</v>
      </c>
      <c r="E41" s="80">
        <f t="shared" si="1"/>
        <v>0</v>
      </c>
      <c r="F41" s="80">
        <f ca="1">IF(A41&gt;iBP,"",MAX(SA,Output!I41,1.05*(Input!$B$11*IF(Output!A41&gt;iPRM_PP,iPRM_PP,Output!A41))))</f>
        <v>655452</v>
      </c>
      <c r="G41" s="78">
        <f ca="1">IF(A41&gt;iBP,"",MAX(0,(((Input!$B$11*IF(Output!A41&gt;iPRM_PP,iPRM_PP,Output!A41))*OFFSET(SF!$A$3,Output!A41,Input!$D$7))-SUM($C$29:C41)-SUM($D$29:D41))))</f>
        <v>295262.68800000002</v>
      </c>
      <c r="H41" s="77">
        <f ca="1">IF(A41&gt;iBP,"",SUM($B$29:B41)/SUM($B$29:$B$40)*MB*OFFSET(SF!$AC$3,A41,Input!$D$7)+(SUM($B$29:B41)/SUM($B$29:$B$40)*(IF(Input!$D$2=1,Output!C41+Output!D41,GI*iPRM)))*OFFSET(IF(Input!$D$2=1,SF!$H$3,IF(Input!$D$2=2,SF!$O$3,SF!$V$3)),A41,Input!$D$7))</f>
        <v>512638</v>
      </c>
      <c r="I41" s="81">
        <f t="shared" ca="1" si="2"/>
        <v>512638</v>
      </c>
      <c r="K41" s="119"/>
      <c r="L41" s="119"/>
      <c r="M41" s="119"/>
      <c r="N41" s="119"/>
      <c r="O41" s="119"/>
      <c r="P41" s="119"/>
      <c r="R41" s="121"/>
      <c r="S41" s="121"/>
      <c r="T41" s="121"/>
      <c r="U41" s="121"/>
      <c r="V41" s="121"/>
      <c r="W41" s="121"/>
      <c r="X41" s="119"/>
    </row>
    <row r="42" spans="1:24">
      <c r="A42" s="82">
        <f t="shared" si="3"/>
        <v>14</v>
      </c>
      <c r="B42" s="83" t="str">
        <f t="shared" si="0"/>
        <v/>
      </c>
      <c r="C42" s="77">
        <f ca="1">IF(A42&gt;iBP,"",IF(A42&lt;Income_ST,0,IF(OR(Input!$D$2=1,Input!$D$2=2),iPRM*GI,iPRM*OFFSET(Input!$S$3,Output!A42,Input!$D$7)))+IF(Input!$D$2=2,IF(AND(A42&gt;=In_St_Yr,A42&lt;=Income_End),GI*iPRM*In_GI*(A42-(In_St_Yr-1)))))</f>
        <v>0</v>
      </c>
      <c r="D42" s="79">
        <f>IF(A42&gt;iBP,"",IF(Input!$D$2=1,IF(AND(A42&gt;=In_St_Yr,A42&lt;=Income_End),SUM(Output!$C$28:C41)*In_GI,IF(A42&gt;=Income_End,D41,0)),0))</f>
        <v>0</v>
      </c>
      <c r="E42" s="80">
        <f t="shared" si="1"/>
        <v>0</v>
      </c>
      <c r="F42" s="80">
        <f ca="1">IF(A42&gt;iBP,"",MAX(SA,Output!I42,1.05*(Input!$B$11*IF(Output!A42&gt;iPRM_PP,iPRM_PP,Output!A42))))</f>
        <v>655452</v>
      </c>
      <c r="G42" s="78">
        <f ca="1">IF(A42&gt;iBP,"",MAX(0,(((Input!$B$11*IF(Output!A42&gt;iPRM_PP,iPRM_PP,Output!A42))*OFFSET(SF!$A$3,Output!A42,Input!$D$7))-SUM($C$29:C42)-SUM($D$29:D42))))</f>
        <v>309932.32799999998</v>
      </c>
      <c r="H42" s="77">
        <f ca="1">IF(A42&gt;iBP,"",SUM($B$29:B42)/SUM($B$29:$B$40)*MB*OFFSET(SF!$AC$3,A42,Input!$D$7)+(SUM($B$29:B42)/SUM($B$29:$B$40)*(IF(Input!$D$2=1,Output!C42+Output!D42,GI*iPRM)))*OFFSET(IF(Input!$D$2=1,SF!$H$3,IF(Input!$D$2=2,SF!$O$3,SF!$V$3)),A42,Input!$D$7))</f>
        <v>548829.05000000005</v>
      </c>
      <c r="I42" s="81">
        <f t="shared" ca="1" si="2"/>
        <v>548829.05000000005</v>
      </c>
      <c r="K42" s="119"/>
      <c r="L42" s="119"/>
      <c r="M42" s="119"/>
      <c r="N42" s="119"/>
      <c r="O42" s="119"/>
      <c r="P42" s="119"/>
      <c r="R42" s="121"/>
      <c r="S42" s="121"/>
      <c r="T42" s="121"/>
      <c r="U42" s="121"/>
      <c r="V42" s="121"/>
      <c r="W42" s="121"/>
      <c r="X42" s="119"/>
    </row>
    <row r="43" spans="1:24">
      <c r="A43" s="82">
        <f t="shared" si="3"/>
        <v>15</v>
      </c>
      <c r="B43" s="83" t="str">
        <f t="shared" si="0"/>
        <v/>
      </c>
      <c r="C43" s="77">
        <f ca="1">IF(A43&gt;iBP,"",IF(A43&lt;Income_ST,0,IF(OR(Input!$D$2=1,Input!$D$2=2),iPRM*GI,iPRM*OFFSET(Input!$S$3,Output!A43,Input!$D$7)))+IF(Input!$D$2=2,IF(AND(A43&gt;=In_St_Yr,A43&lt;=Income_End),GI*iPRM*In_GI*(A43-(In_St_Yr-1)))))</f>
        <v>52500</v>
      </c>
      <c r="D43" s="79">
        <f>IF(A43&gt;iBP,"",IF(Input!$D$2=1,IF(AND(A43&gt;=In_St_Yr,A43&lt;=Income_End),SUM(Output!$C$28:C42)*In_GI,IF(A43&gt;=Income_End,D42,0)),0))</f>
        <v>0</v>
      </c>
      <c r="E43" s="80">
        <f t="shared" si="1"/>
        <v>0</v>
      </c>
      <c r="F43" s="80">
        <f ca="1">IF(A43&gt;iBP,"",MAX(SA,Output!I43,1.05*(Input!$B$11*IF(Output!A43&gt;iPRM_PP,iPRM_PP,Output!A43))))</f>
        <v>655452</v>
      </c>
      <c r="G43" s="78">
        <f ca="1">IF(A43&gt;iBP,"",MAX(0,(((Input!$B$11*IF(Output!A43&gt;iPRM_PP,iPRM_PP,Output!A43))*OFFSET(SF!$A$3,Output!A43,Input!$D$7))-SUM($C$29:C43)-SUM($D$29:D43))))</f>
        <v>272101.96799999999</v>
      </c>
      <c r="H43" s="77">
        <f ca="1">IF(A43&gt;iBP,"",SUM($B$29:B43)/SUM($B$29:$B$40)*MB*OFFSET(SF!$AC$3,A43,Input!$D$7)+(SUM($B$29:B43)/SUM($B$29:$B$40)*(IF(Input!$D$2=1,Output!C43+Output!D43,GI*iPRM)))*OFFSET(IF(Input!$D$2=1,SF!$H$3,IF(Input!$D$2=2,SF!$O$3,SF!$V$3)),A43,Input!$D$7))</f>
        <v>587773.55000000005</v>
      </c>
      <c r="I43" s="81">
        <f t="shared" ca="1" si="2"/>
        <v>587773.55000000005</v>
      </c>
      <c r="K43" s="119"/>
      <c r="L43" s="119"/>
      <c r="M43" s="119"/>
      <c r="N43" s="119"/>
      <c r="O43" s="119"/>
      <c r="P43" s="119"/>
      <c r="R43" s="121"/>
      <c r="S43" s="121"/>
      <c r="T43" s="121"/>
      <c r="U43" s="121"/>
      <c r="V43" s="121"/>
      <c r="W43" s="121"/>
      <c r="X43" s="119"/>
    </row>
    <row r="44" spans="1:24">
      <c r="A44" s="82">
        <f t="shared" si="3"/>
        <v>16</v>
      </c>
      <c r="B44" s="83" t="str">
        <f t="shared" ref="B44:B53" si="4">IF(A44&gt;iPRM_PP,"",iPRM)</f>
        <v/>
      </c>
      <c r="C44" s="77">
        <f ca="1">IF(A44&gt;iBP,"",IF(A44&lt;Income_ST,0,IF(OR(Input!$D$2=1,Input!$D$2=2),iPRM*GI,iPRM*OFFSET(Input!$S$3,Output!A44,Input!$D$7)))+IF(Input!$D$2=2,IF(AND(A44&gt;=In_St_Yr,A44&lt;=Income_End),GI*iPRM*In_GI*(A44-(In_St_Yr-1)))))</f>
        <v>52500</v>
      </c>
      <c r="D44" s="79">
        <f>IF(A44&gt;iBP,"",IF(Input!$D$2=1,IF(AND(A44&gt;=In_St_Yr,A44&lt;=Income_End),SUM(Output!$C$28:C43)*In_GI,IF(A44&gt;=Income_End,D43,0)),0))</f>
        <v>0</v>
      </c>
      <c r="E44" s="80">
        <f t="shared" si="1"/>
        <v>0</v>
      </c>
      <c r="F44" s="80">
        <f ca="1">IF(A44&gt;iBP,"",MAX(SA,Output!I44,1.05*(Input!$B$11*IF(Output!A44&gt;iPRM_PP,iPRM_PP,Output!A44))))</f>
        <v>655452</v>
      </c>
      <c r="G44" s="78">
        <f ca="1">IF(A44&gt;iBP,"",MAX(0,(((Input!$B$11*IF(Output!A44&gt;iPRM_PP,iPRM_PP,Output!A44))*OFFSET(SF!$A$3,Output!A44,Input!$D$7))-SUM($C$29:C44)-SUM($D$29:D44))))</f>
        <v>234334.03200000001</v>
      </c>
      <c r="H44" s="77">
        <f ca="1">IF(A44&gt;iBP,"",SUM($B$29:B44)/SUM($B$29:$B$40)*MB*OFFSET(SF!$AC$3,A44,Input!$D$7)+(SUM($B$29:B44)/SUM($B$29:$B$40)*(IF(Input!$D$2=1,Output!C44+Output!D44,GI*iPRM)))*OFFSET(IF(Input!$D$2=1,SF!$H$3,IF(Input!$D$2=2,SF!$O$3,SF!$V$3)),A44,Input!$D$7))</f>
        <v>577066</v>
      </c>
      <c r="I44" s="81">
        <f t="shared" ca="1" si="2"/>
        <v>577066</v>
      </c>
      <c r="K44" s="119"/>
      <c r="L44" s="119"/>
      <c r="M44" s="119"/>
      <c r="N44" s="119"/>
      <c r="O44" s="119"/>
      <c r="P44" s="119"/>
      <c r="R44" s="121"/>
      <c r="S44" s="121"/>
      <c r="T44" s="121"/>
      <c r="U44" s="121"/>
      <c r="V44" s="121"/>
      <c r="W44" s="121"/>
      <c r="X44" s="119"/>
    </row>
    <row r="45" spans="1:24">
      <c r="A45" s="82">
        <f t="shared" si="3"/>
        <v>17</v>
      </c>
      <c r="B45" s="83" t="str">
        <f t="shared" si="4"/>
        <v/>
      </c>
      <c r="C45" s="77">
        <f ca="1">IF(A45&gt;iBP,"",IF(A45&lt;Income_ST,0,IF(OR(Input!$D$2=1,Input!$D$2=2),iPRM*GI,iPRM*OFFSET(Input!$S$3,Output!A45,Input!$D$7)))+IF(Input!$D$2=2,IF(AND(A45&gt;=In_St_Yr,A45&lt;=Income_End),GI*iPRM*In_GI*(A45-(In_St_Yr-1)))))</f>
        <v>0</v>
      </c>
      <c r="D45" s="79">
        <f>IF(A45&gt;iBP,"",IF(Input!$D$2=1,IF(AND(A45&gt;=In_St_Yr,A45&lt;=Income_End),SUM(Output!$C$28:C44)*In_GI,IF(A45&gt;=Income_End,D44,0)),0))</f>
        <v>0</v>
      </c>
      <c r="E45" s="80">
        <f t="shared" si="1"/>
        <v>0</v>
      </c>
      <c r="F45" s="80">
        <f ca="1">IF(A45&gt;iBP,"",MAX(SA,Output!I45,1.05*(Input!$B$11*IF(Output!A45&gt;iPRM_PP,iPRM_PP,Output!A45))))</f>
        <v>655452</v>
      </c>
      <c r="G45" s="78">
        <f ca="1">IF(A45&gt;iBP,"",MAX(0,(((Input!$B$11*IF(Output!A45&gt;iPRM_PP,iPRM_PP,Output!A45))*OFFSET(SF!$A$3,Output!A45,Input!$D$7))-SUM($C$29:C45)-SUM($D$29:D45))))</f>
        <v>249003.67199999996</v>
      </c>
      <c r="H45" s="77">
        <f ca="1">IF(A45&gt;iBP,"",SUM($B$29:B45)/SUM($B$29:$B$40)*MB*OFFSET(SF!$AC$3,A45,Input!$D$7)+(SUM($B$29:B45)/SUM($B$29:$B$40)*(IF(Input!$D$2=1,Output!C45+Output!D45,GI*iPRM)))*OFFSET(IF(Input!$D$2=1,SF!$H$3,IF(Input!$D$2=2,SF!$O$3,SF!$V$3)),A45,Input!$D$7))</f>
        <v>565397.49</v>
      </c>
      <c r="I45" s="81">
        <f t="shared" ca="1" si="2"/>
        <v>565397.49</v>
      </c>
      <c r="K45" s="119"/>
      <c r="L45" s="119"/>
      <c r="M45" s="119"/>
      <c r="N45" s="119"/>
      <c r="O45" s="119"/>
      <c r="P45" s="119"/>
      <c r="R45" s="121"/>
      <c r="S45" s="121"/>
      <c r="T45" s="121"/>
      <c r="U45" s="121"/>
      <c r="V45" s="121"/>
      <c r="W45" s="121"/>
      <c r="X45" s="119"/>
    </row>
    <row r="46" spans="1:24" ht="15" thickBot="1">
      <c r="A46" s="84">
        <f t="shared" si="3"/>
        <v>18</v>
      </c>
      <c r="B46" s="83" t="str">
        <f t="shared" si="4"/>
        <v/>
      </c>
      <c r="C46" s="77">
        <f ca="1">IF(A46&gt;iBP,"",IF(A46&lt;Income_ST,0,IF(OR(Input!$D$2=1,Input!$D$2=2),iPRM*GI,iPRM*OFFSET(Input!$S$3,Output!A46,Input!$D$7)))+IF(Input!$D$2=2,IF(AND(A46&gt;=In_St_Yr,A46&lt;=Income_End),GI*iPRM*In_GI*(A46-(In_St_Yr-1)))))</f>
        <v>0</v>
      </c>
      <c r="D46" s="79">
        <f>IF(A46&gt;iBP,"",IF(Input!$D$2=1,IF(AND(A46&gt;=In_St_Yr,A46&lt;=Income_End),SUM(Output!$C$28:C45)*In_GI,IF(A46&gt;=Income_End,D45,0)),0))</f>
        <v>0</v>
      </c>
      <c r="E46" s="80">
        <f t="shared" si="1"/>
        <v>0</v>
      </c>
      <c r="F46" s="80">
        <f ca="1">IF(A46&gt;iBP,"",MAX(SA,Output!I46,1.05*(Input!$B$11*IF(Output!A46&gt;iPRM_PP,iPRM_PP,Output!A46))))</f>
        <v>655452</v>
      </c>
      <c r="G46" s="78">
        <f ca="1">IF(A46&gt;iBP,"",MAX(0,(((Input!$B$11*IF(Output!A46&gt;iPRM_PP,iPRM_PP,Output!A46))*OFFSET(SF!$A$3,Output!A46,Input!$D$7))-SUM($C$29:C46)-SUM($D$29:D46))))</f>
        <v>263673.31200000003</v>
      </c>
      <c r="H46" s="77">
        <f ca="1">IF(A46&gt;iBP,"",SUM($B$29:B46)/SUM($B$29:$B$40)*MB*OFFSET(SF!$AC$3,A46,Input!$D$7)+(SUM($B$29:B46)/SUM($B$29:$B$40)*(IF(Input!$D$2=1,Output!C46+Output!D46,GI*iPRM)))*OFFSET(IF(Input!$D$2=1,SF!$H$3,IF(Input!$D$2=2,SF!$O$3,SF!$V$3)),A46,Input!$D$7))</f>
        <v>605151.19000000006</v>
      </c>
      <c r="I46" s="81">
        <f t="shared" ca="1" si="2"/>
        <v>605151.19000000006</v>
      </c>
      <c r="K46" s="119"/>
      <c r="L46" s="119"/>
      <c r="M46" s="119"/>
      <c r="N46" s="119"/>
      <c r="O46" s="119"/>
      <c r="P46" s="119"/>
      <c r="R46" s="121"/>
      <c r="S46" s="121"/>
      <c r="T46" s="121"/>
      <c r="U46" s="121"/>
      <c r="V46" s="121"/>
      <c r="W46" s="121"/>
      <c r="X46" s="119"/>
    </row>
    <row r="47" spans="1:24">
      <c r="A47" s="77">
        <f t="shared" si="3"/>
        <v>19</v>
      </c>
      <c r="B47" s="83" t="str">
        <f t="shared" si="4"/>
        <v/>
      </c>
      <c r="C47" s="77">
        <f ca="1">IF(A47&gt;iBP,"",IF(A47&lt;Income_ST,0,IF(OR(Input!$D$2=1,Input!$D$2=2),iPRM*GI,iPRM*OFFSET(Input!$S$3,Output!A47,Input!$D$7)))+IF(Input!$D$2=2,IF(AND(A47&gt;=In_St_Yr,A47&lt;=Income_End),GI*iPRM*In_GI*(A47-(In_St_Yr-1)))))</f>
        <v>0</v>
      </c>
      <c r="D47" s="79">
        <f>IF(A47&gt;iBP,"",IF(Input!$D$2=1,IF(AND(A47&gt;=In_St_Yr,A47&lt;=Income_End),SUM(Output!$C$28:C46)*In_GI,IF(A47&gt;=Income_End,D46,0)),0))</f>
        <v>0</v>
      </c>
      <c r="E47" s="80">
        <f t="shared" si="1"/>
        <v>0</v>
      </c>
      <c r="F47" s="80">
        <f ca="1">IF(A47&gt;iBP,"",MAX(SA,Output!I47,1.05*(Input!$B$11*IF(Output!A47&gt;iPRM_PP,iPRM_PP,Output!A47))))</f>
        <v>655452</v>
      </c>
      <c r="G47" s="78">
        <f ca="1">IF(A47&gt;iBP,"",MAX(0,(((Input!$B$11*IF(Output!A47&gt;iPRM_PP,iPRM_PP,Output!A47))*OFFSET(SF!$A$3,Output!A47,Input!$D$7))-SUM($C$29:C47)-SUM($D$29:D47))))</f>
        <v>278405.37599999999</v>
      </c>
      <c r="H47" s="77">
        <f ca="1">IF(A47&gt;iBP,"",SUM($B$29:B47)/SUM($B$29:$B$40)*MB*OFFSET(SF!$AC$3,A47,Input!$D$7)+(SUM($B$29:B47)/SUM($B$29:$B$40)*(IF(Input!$D$2=1,Output!C47+Output!D47,GI*iPRM)))*OFFSET(IF(Input!$D$2=1,SF!$H$3,IF(Input!$D$2=2,SF!$O$3,SF!$V$3)),A47,Input!$D$7))</f>
        <v>647908.30999999994</v>
      </c>
      <c r="I47" s="81">
        <f t="shared" ca="1" si="2"/>
        <v>647908.30999999994</v>
      </c>
      <c r="K47" s="119"/>
      <c r="L47" s="119"/>
      <c r="M47" s="119"/>
      <c r="N47" s="119"/>
      <c r="O47" s="119"/>
      <c r="P47" s="119"/>
      <c r="R47" s="121"/>
      <c r="S47" s="121"/>
      <c r="T47" s="121"/>
      <c r="U47" s="121"/>
      <c r="V47" s="121"/>
      <c r="W47" s="121"/>
      <c r="X47" s="119"/>
    </row>
    <row r="48" spans="1:24">
      <c r="A48" s="82">
        <f t="shared" si="3"/>
        <v>20</v>
      </c>
      <c r="B48" s="83" t="str">
        <f t="shared" si="4"/>
        <v/>
      </c>
      <c r="C48" s="77">
        <f ca="1">IF(A48&gt;iBP,"",IF(A48&lt;Income_ST,0,IF(OR(Input!$D$2=1,Input!$D$2=2),iPRM*GI,iPRM*OFFSET(Input!$S$3,Output!A48,Input!$D$7)))+IF(Input!$D$2=2,IF(AND(A48&gt;=In_St_Yr,A48&lt;=Income_End),GI*iPRM*In_GI*(A48-(In_St_Yr-1)))))</f>
        <v>52500</v>
      </c>
      <c r="D48" s="79">
        <f>IF(A48&gt;iBP,"",IF(Input!$D$2=1,IF(AND(A48&gt;=In_St_Yr,A48&lt;=Income_End),SUM(Output!$C$28:C47)*In_GI,IF(A48&gt;=Income_End,D47,0)),0))</f>
        <v>0</v>
      </c>
      <c r="E48" s="80">
        <f t="shared" si="1"/>
        <v>0</v>
      </c>
      <c r="F48" s="80">
        <f ca="1">IF(A48&gt;iBP,"",MAX(SA,Output!I48,1.05*(Input!$B$11*IF(Output!A48&gt;iPRM_PP,iPRM_PP,Output!A48))))</f>
        <v>694182.65</v>
      </c>
      <c r="G48" s="78">
        <f ca="1">IF(A48&gt;iBP,"",MAX(0,(((Input!$B$11*IF(Output!A48&gt;iPRM_PP,iPRM_PP,Output!A48))*OFFSET(SF!$A$3,Output!A48,Input!$D$7))-SUM($C$29:C48)-SUM($D$29:D48))))</f>
        <v>240575.01599999995</v>
      </c>
      <c r="H48" s="77">
        <f ca="1">IF(A48&gt;iBP,"",SUM($B$29:B48)/SUM($B$29:$B$40)*MB*OFFSET(SF!$AC$3,A48,Input!$D$7)+(SUM($B$29:B48)/SUM($B$29:$B$40)*(IF(Input!$D$2=1,Output!C48+Output!D48,GI*iPRM)))*OFFSET(IF(Input!$D$2=1,SF!$H$3,IF(Input!$D$2=2,SF!$O$3,SF!$V$3)),A48,Input!$D$7))</f>
        <v>694182.65</v>
      </c>
      <c r="I48" s="81">
        <f t="shared" ca="1" si="2"/>
        <v>694182.65</v>
      </c>
      <c r="K48" s="119"/>
      <c r="L48" s="119"/>
      <c r="M48" s="119"/>
      <c r="N48" s="119"/>
      <c r="O48" s="119"/>
      <c r="P48" s="119"/>
      <c r="R48" s="121"/>
      <c r="S48" s="121"/>
      <c r="T48" s="121"/>
      <c r="U48" s="121"/>
      <c r="V48" s="121"/>
      <c r="W48" s="121"/>
      <c r="X48" s="119"/>
    </row>
    <row r="49" spans="1:24">
      <c r="A49" s="82">
        <f t="shared" si="3"/>
        <v>21</v>
      </c>
      <c r="B49" s="83" t="str">
        <f t="shared" si="4"/>
        <v/>
      </c>
      <c r="C49" s="77">
        <f ca="1">IF(A49&gt;iBP,"",IF(A49&lt;Income_ST,0,IF(OR(Input!$D$2=1,Input!$D$2=2),iPRM*GI,iPRM*OFFSET(Input!$S$3,Output!A49,Input!$D$7)))+IF(Input!$D$2=2,IF(AND(A49&gt;=In_St_Yr,A49&lt;=Income_End),GI*iPRM*In_GI*(A49-(In_St_Yr-1)))))</f>
        <v>52500</v>
      </c>
      <c r="D49" s="79">
        <f>IF(A49&gt;iBP,"",IF(Input!$D$2=1,IF(AND(A49&gt;=In_St_Yr,A49&lt;=Income_End),SUM(Output!$C$28:C48)*In_GI,IF(A49&gt;=Income_End,D48,0)),0))</f>
        <v>0</v>
      </c>
      <c r="E49" s="80">
        <f t="shared" si="1"/>
        <v>0</v>
      </c>
      <c r="F49" s="80">
        <f ca="1">IF(A49&gt;iBP,"",MAX(SA,Output!I49,1.05*(Input!$B$11*IF(Output!A49&gt;iPRM_PP,iPRM_PP,Output!A49))))</f>
        <v>691623.17</v>
      </c>
      <c r="G49" s="78">
        <f ca="1">IF(A49&gt;iBP,"",MAX(0,(((Input!$B$11*IF(Output!A49&gt;iPRM_PP,iPRM_PP,Output!A49))*OFFSET(SF!$A$3,Output!A49,Input!$D$7))-SUM($C$29:C49)-SUM($D$29:D49))))</f>
        <v>202744.65600000002</v>
      </c>
      <c r="H49" s="77">
        <f ca="1">IF(A49&gt;iBP,"",SUM($B$29:B49)/SUM($B$29:$B$40)*MB*OFFSET(SF!$AC$3,A49,Input!$D$7)+(SUM($B$29:B49)/SUM($B$29:$B$40)*(IF(Input!$D$2=1,Output!C49+Output!D49,GI*iPRM)))*OFFSET(IF(Input!$D$2=1,SF!$H$3,IF(Input!$D$2=2,SF!$O$3,SF!$V$3)),A49,Input!$D$7))</f>
        <v>691623.17</v>
      </c>
      <c r="I49" s="81">
        <f t="shared" ca="1" si="2"/>
        <v>691623.17</v>
      </c>
      <c r="K49" s="119"/>
      <c r="L49" s="119"/>
      <c r="M49" s="119"/>
      <c r="N49" s="119"/>
      <c r="O49" s="119"/>
      <c r="P49" s="119"/>
      <c r="R49" s="121"/>
      <c r="S49" s="121"/>
      <c r="T49" s="121"/>
      <c r="U49" s="121"/>
      <c r="V49" s="121"/>
      <c r="W49" s="121"/>
      <c r="X49" s="119"/>
    </row>
    <row r="50" spans="1:24">
      <c r="A50" s="82">
        <f t="shared" si="3"/>
        <v>22</v>
      </c>
      <c r="B50" s="83" t="str">
        <f t="shared" si="4"/>
        <v/>
      </c>
      <c r="C50" s="77">
        <f ca="1">IF(A50&gt;iBP,"",IF(A50&lt;Income_ST,0,IF(OR(Input!$D$2=1,Input!$D$2=2),iPRM*GI,iPRM*OFFSET(Input!$S$3,Output!A50,Input!$D$7)))+IF(Input!$D$2=2,IF(AND(A50&gt;=In_St_Yr,A50&lt;=Income_End),GI*iPRM*In_GI*(A50-(In_St_Yr-1)))))</f>
        <v>0</v>
      </c>
      <c r="D50" s="79">
        <f>IF(A50&gt;iBP,"",IF(Input!$D$2=1,IF(AND(A50&gt;=In_St_Yr,A50&lt;=Income_End),SUM(Output!$C$28:C49)*In_GI,IF(A50&gt;=Income_End,D49,0)),0))</f>
        <v>0</v>
      </c>
      <c r="E50" s="80">
        <f t="shared" si="1"/>
        <v>0</v>
      </c>
      <c r="F50" s="80">
        <f ca="1">IF(A50&gt;iBP,"",MAX(SA,Output!I50,1.05*(Input!$B$11*IF(Output!A50&gt;iPRM_PP,iPRM_PP,Output!A50))))</f>
        <v>688726.71</v>
      </c>
      <c r="G50" s="78">
        <f ca="1">IF(A50&gt;iBP,"",MAX(0,(((Input!$B$11*IF(Output!A50&gt;iPRM_PP,iPRM_PP,Output!A50))*OFFSET(SF!$A$3,Output!A50,Input!$D$7))-SUM($C$29:C50)-SUM($D$29:D50))))</f>
        <v>217414.29599999997</v>
      </c>
      <c r="H50" s="77">
        <f ca="1">IF(A50&gt;iBP,"",SUM($B$29:B50)/SUM($B$29:$B$40)*MB*OFFSET(SF!$AC$3,A50,Input!$D$7)+(SUM($B$29:B50)/SUM($B$29:$B$40)*(IF(Input!$D$2=1,Output!C50+Output!D50,GI*iPRM)))*OFFSET(IF(Input!$D$2=1,SF!$H$3,IF(Input!$D$2=2,SF!$O$3,SF!$V$3)),A50,Input!$D$7))</f>
        <v>688726.71</v>
      </c>
      <c r="I50" s="81">
        <f t="shared" ca="1" si="2"/>
        <v>688726.71</v>
      </c>
      <c r="K50" s="119"/>
      <c r="L50" s="119"/>
      <c r="M50" s="119"/>
      <c r="N50" s="119"/>
      <c r="O50" s="119"/>
      <c r="P50" s="119"/>
      <c r="R50" s="121"/>
      <c r="S50" s="121"/>
      <c r="T50" s="121"/>
      <c r="U50" s="121"/>
      <c r="V50" s="121"/>
      <c r="W50" s="121"/>
      <c r="X50" s="119"/>
    </row>
    <row r="51" spans="1:24">
      <c r="A51" s="82">
        <f t="shared" si="3"/>
        <v>23</v>
      </c>
      <c r="B51" s="83" t="str">
        <f t="shared" si="4"/>
        <v/>
      </c>
      <c r="C51" s="77">
        <f ca="1">IF(A51&gt;iBP,"",IF(A51&lt;Income_ST,0,IF(OR(Input!$D$2=1,Input!$D$2=2),iPRM*GI,iPRM*OFFSET(Input!$S$3,Output!A51,Input!$D$7)))+IF(Input!$D$2=2,IF(AND(A51&gt;=In_St_Yr,A51&lt;=Income_End),GI*iPRM*In_GI*(A51-(In_St_Yr-1)))))</f>
        <v>0</v>
      </c>
      <c r="D51" s="79">
        <f>IF(A51&gt;iBP,"",IF(Input!$D$2=1,IF(AND(A51&gt;=In_St_Yr,A51&lt;=Income_End),SUM(Output!$C$28:C50)*In_GI,IF(A51&gt;=Income_End,D50,0)),0))</f>
        <v>0</v>
      </c>
      <c r="E51" s="80">
        <f t="shared" si="1"/>
        <v>0</v>
      </c>
      <c r="F51" s="80">
        <f ca="1">IF(A51&gt;iBP,"",MAX(SA,Output!I51,1.05*(Input!$B$11*IF(Output!A51&gt;iPRM_PP,iPRM_PP,Output!A51))))</f>
        <v>737980.11</v>
      </c>
      <c r="G51" s="78">
        <f ca="1">IF(A51&gt;iBP,"",MAX(0,(((Input!$B$11*IF(Output!A51&gt;iPRM_PP,iPRM_PP,Output!A51))*OFFSET(SF!$A$3,Output!A51,Input!$D$7))-SUM($C$29:C51)-SUM($D$29:D51))))</f>
        <v>232146.36</v>
      </c>
      <c r="H51" s="77">
        <f ca="1">IF(A51&gt;iBP,"",SUM($B$29:B51)/SUM($B$29:$B$40)*MB*OFFSET(SF!$AC$3,A51,Input!$D$7)+(SUM($B$29:B51)/SUM($B$29:$B$40)*(IF(Input!$D$2=1,Output!C51+Output!D51,GI*iPRM)))*OFFSET(IF(Input!$D$2=1,SF!$H$3,IF(Input!$D$2=2,SF!$O$3,SF!$V$3)),A51,Input!$D$7))</f>
        <v>737980.11</v>
      </c>
      <c r="I51" s="81">
        <f t="shared" ca="1" si="2"/>
        <v>737980.11</v>
      </c>
      <c r="K51" s="119"/>
      <c r="L51" s="119"/>
      <c r="M51" s="119"/>
      <c r="N51" s="119"/>
      <c r="O51" s="119"/>
      <c r="P51" s="119"/>
      <c r="R51" s="121"/>
      <c r="S51" s="121"/>
      <c r="T51" s="121"/>
      <c r="U51" s="121"/>
      <c r="V51" s="121"/>
      <c r="W51" s="121"/>
      <c r="X51" s="119"/>
    </row>
    <row r="52" spans="1:24">
      <c r="A52" s="82">
        <f t="shared" si="3"/>
        <v>24</v>
      </c>
      <c r="B52" s="83" t="str">
        <f t="shared" si="4"/>
        <v/>
      </c>
      <c r="C52" s="77">
        <f ca="1">IF(A52&gt;iBP,"",IF(A52&lt;Income_ST,0,IF(OR(Input!$D$2=1,Input!$D$2=2),iPRM*GI,iPRM*OFFSET(Input!$S$3,Output!A52,Input!$D$7)))+IF(Input!$D$2=2,IF(AND(A52&gt;=In_St_Yr,A52&lt;=Income_End),GI*iPRM*In_GI*(A52-(In_St_Yr-1)))))</f>
        <v>0</v>
      </c>
      <c r="D52" s="79">
        <f>IF(A52&gt;iBP,"",IF(Input!$D$2=1,IF(AND(A52&gt;=In_St_Yr,A52&lt;=Income_End),SUM(Output!$C$28:C51)*In_GI,IF(A52&gt;=Income_End,D51,0)),0))</f>
        <v>0</v>
      </c>
      <c r="E52" s="80">
        <f t="shared" si="1"/>
        <v>0</v>
      </c>
      <c r="F52" s="80">
        <f ca="1">IF(A52&gt;iBP,"",MAX(SA,Output!I52,1.05*(Input!$B$11*IF(Output!A52&gt;iPRM_PP,iPRM_PP,Output!A52))))</f>
        <v>791246.75</v>
      </c>
      <c r="G52" s="78">
        <f ca="1">IF(A52&gt;iBP,"",MAX(0,(((Input!$B$11*IF(Output!A52&gt;iPRM_PP,iPRM_PP,Output!A52))*OFFSET(SF!$A$3,Output!A52,Input!$D$7))-SUM($C$29:C52)-SUM($D$29:D52))))</f>
        <v>246816</v>
      </c>
      <c r="H52" s="77">
        <f ca="1">IF(A52&gt;iBP,"",SUM($B$29:B52)/SUM($B$29:$B$40)*MB*OFFSET(SF!$AC$3,A52,Input!$D$7)+(SUM($B$29:B52)/SUM($B$29:$B$40)*(IF(Input!$D$2=1,Output!C52+Output!D52,GI*iPRM)))*OFFSET(IF(Input!$D$2=1,SF!$H$3,IF(Input!$D$2=2,SF!$O$3,SF!$V$3)),A52,Input!$D$7))</f>
        <v>791246.75</v>
      </c>
      <c r="I52" s="81">
        <f t="shared" ca="1" si="2"/>
        <v>791246.75</v>
      </c>
      <c r="K52" s="119"/>
      <c r="L52" s="119"/>
      <c r="M52" s="119"/>
      <c r="N52" s="119"/>
      <c r="O52" s="119"/>
      <c r="P52" s="119"/>
      <c r="R52" s="121"/>
      <c r="S52" s="121"/>
      <c r="T52" s="121"/>
      <c r="U52" s="121"/>
      <c r="V52" s="121"/>
      <c r="W52" s="121"/>
      <c r="X52" s="119"/>
    </row>
    <row r="53" spans="1:24">
      <c r="A53" s="82">
        <f t="shared" si="3"/>
        <v>25</v>
      </c>
      <c r="B53" s="83" t="str">
        <f t="shared" si="4"/>
        <v/>
      </c>
      <c r="C53" s="77">
        <f ca="1">IF(A53&gt;iBP,"",IF(A53&lt;Income_ST,0,IF(OR(Input!$D$2=1,Input!$D$2=2),iPRM*GI,iPRM*OFFSET(Input!$S$3,Output!A53,Input!$D$7)))+IF(Input!$D$2=2,IF(AND(A53&gt;=In_St_Yr,A53&lt;=Income_End),GI*iPRM*In_GI*(A53-(In_St_Yr-1)))))</f>
        <v>0</v>
      </c>
      <c r="D53" s="79">
        <f>IF(A53&gt;iBP,"",IF(Input!$D$2=1,IF(AND(A53&gt;=In_St_Yr,A53&lt;=Income_End),SUM(Output!$C$28:C52)*In_GI,IF(A53&gt;=Income_End,D52,0)),0))</f>
        <v>0</v>
      </c>
      <c r="E53" s="80">
        <f t="shared" ca="1" si="1"/>
        <v>912100</v>
      </c>
      <c r="F53" s="80">
        <f ca="1">IF(A53&gt;iBP,"",MAX(SA,Output!I53,1.05*(Input!$B$11*IF(Output!A53&gt;iPRM_PP,iPRM_PP,Output!A53))))</f>
        <v>849165.10000000009</v>
      </c>
      <c r="G53" s="78">
        <f ca="1">IF(A53&gt;iBP,"",MAX(0,(((Input!$B$11*IF(Output!A53&gt;iPRM_PP,iPRM_PP,Output!A53))*OFFSET(SF!$A$3,Output!A53,Input!$D$7))-SUM($C$29:C53)-SUM($D$29:D53))))</f>
        <v>246816</v>
      </c>
      <c r="H53" s="77">
        <f ca="1">IF(A53&gt;iBP,"",SUM($B$29:B53)/SUM($B$29:$B$40)*MB*OFFSET(SF!$AC$3,A53,Input!$D$7)+(SUM($B$29:B53)/SUM($B$29:$B$40)*(IF(Input!$D$2=1,Output!C53+Output!D53,GI*iPRM)))*OFFSET(IF(Input!$D$2=1,SF!$H$3,IF(Input!$D$2=2,SF!$O$3,SF!$V$3)),A53,Input!$D$7))</f>
        <v>849165.10000000009</v>
      </c>
      <c r="I53" s="81">
        <f t="shared" ca="1" si="2"/>
        <v>849165.10000000009</v>
      </c>
      <c r="K53" s="119"/>
      <c r="L53" s="119"/>
      <c r="M53" s="119"/>
      <c r="N53" s="119"/>
      <c r="O53" s="119"/>
      <c r="P53" s="119"/>
      <c r="R53" s="121"/>
      <c r="S53" s="121"/>
      <c r="T53" s="121"/>
      <c r="U53" s="121"/>
      <c r="V53" s="121"/>
      <c r="W53" s="121"/>
      <c r="X53" s="119"/>
    </row>
    <row r="54" spans="1:24" ht="5.25" customHeight="1">
      <c r="A54" s="69"/>
      <c r="B54" s="69"/>
      <c r="C54" s="69"/>
      <c r="D54" s="69"/>
      <c r="E54" s="69"/>
      <c r="F54" s="69"/>
      <c r="G54" s="69"/>
      <c r="H54" s="69"/>
      <c r="I54" s="69"/>
    </row>
    <row r="55" spans="1:24" ht="27.75" customHeight="1">
      <c r="A55" s="139" t="s">
        <v>34</v>
      </c>
      <c r="B55" s="139"/>
      <c r="C55" s="139"/>
      <c r="D55" s="139"/>
      <c r="E55" s="139"/>
      <c r="F55" s="139"/>
      <c r="G55" s="139"/>
      <c r="H55" s="139"/>
      <c r="I55" s="139"/>
    </row>
    <row r="56" spans="1:24" ht="7.5" customHeight="1">
      <c r="A56" s="139"/>
      <c r="B56" s="139"/>
      <c r="C56" s="139"/>
      <c r="D56" s="139"/>
      <c r="E56" s="139"/>
      <c r="F56" s="139"/>
      <c r="G56" s="139"/>
      <c r="H56" s="139"/>
      <c r="I56" s="139"/>
    </row>
    <row r="57" spans="1:24">
      <c r="A57" s="86" t="s">
        <v>35</v>
      </c>
      <c r="B57" s="57"/>
      <c r="C57" s="57"/>
      <c r="D57" s="57"/>
      <c r="E57" s="57"/>
      <c r="F57" s="57"/>
      <c r="G57" s="85"/>
      <c r="H57" s="85"/>
      <c r="I57" s="85"/>
    </row>
    <row r="58" spans="1:24">
      <c r="A58" s="139" t="s">
        <v>36</v>
      </c>
      <c r="B58" s="139"/>
      <c r="C58" s="139"/>
      <c r="D58" s="139"/>
      <c r="E58" s="139"/>
      <c r="F58" s="139"/>
      <c r="G58" s="139"/>
      <c r="H58" s="139"/>
      <c r="I58" s="139"/>
    </row>
    <row r="59" spans="1:24" ht="23.25" customHeight="1">
      <c r="A59" s="138" t="s">
        <v>128</v>
      </c>
      <c r="B59" s="138"/>
      <c r="C59" s="138"/>
      <c r="D59" s="138"/>
      <c r="E59" s="138"/>
      <c r="F59" s="138"/>
      <c r="G59" s="138"/>
      <c r="H59" s="138"/>
      <c r="I59" s="138"/>
    </row>
    <row r="60" spans="1:24">
      <c r="A60" s="134" t="s">
        <v>116</v>
      </c>
      <c r="B60" s="134"/>
      <c r="C60" s="134"/>
      <c r="D60" s="134"/>
      <c r="E60" s="134"/>
      <c r="F60" s="134"/>
      <c r="G60" s="134"/>
      <c r="H60" s="134"/>
      <c r="I60" s="134"/>
    </row>
    <row r="61" spans="1:24">
      <c r="A61" s="134" t="s">
        <v>83</v>
      </c>
      <c r="B61" s="134"/>
      <c r="C61" s="134"/>
      <c r="D61" s="134"/>
      <c r="E61" s="134"/>
      <c r="F61" s="134"/>
      <c r="G61" s="134"/>
      <c r="H61" s="134"/>
      <c r="I61" s="134"/>
    </row>
    <row r="62" spans="1:24">
      <c r="A62" s="134" t="s">
        <v>84</v>
      </c>
      <c r="B62" s="134"/>
      <c r="C62" s="134"/>
      <c r="D62" s="134"/>
      <c r="E62" s="134"/>
      <c r="F62" s="134"/>
      <c r="G62" s="134"/>
      <c r="H62" s="134"/>
      <c r="I62" s="134"/>
    </row>
    <row r="63" spans="1:24">
      <c r="A63" s="134" t="s">
        <v>37</v>
      </c>
      <c r="B63" s="134"/>
      <c r="C63" s="134"/>
      <c r="D63" s="134"/>
      <c r="E63" s="134"/>
      <c r="F63" s="134"/>
      <c r="G63" s="134"/>
      <c r="H63" s="134"/>
      <c r="I63" s="134"/>
    </row>
    <row r="64" spans="1:24" ht="13.5" customHeight="1">
      <c r="A64" s="138" t="s">
        <v>126</v>
      </c>
      <c r="B64" s="138"/>
      <c r="C64" s="138"/>
      <c r="D64" s="138"/>
      <c r="E64" s="138"/>
      <c r="F64" s="138"/>
      <c r="G64" s="138"/>
      <c r="H64" s="138"/>
      <c r="I64" s="138"/>
    </row>
    <row r="65" spans="1:9">
      <c r="A65" s="139" t="s">
        <v>38</v>
      </c>
      <c r="B65" s="139"/>
      <c r="C65" s="139"/>
      <c r="D65" s="139"/>
      <c r="E65" s="139"/>
      <c r="F65" s="139"/>
      <c r="G65" s="139"/>
      <c r="H65" s="139"/>
      <c r="I65" s="139"/>
    </row>
    <row r="66" spans="1:9" ht="27.75" customHeight="1">
      <c r="A66" s="138" t="s">
        <v>39</v>
      </c>
      <c r="B66" s="138"/>
      <c r="C66" s="138"/>
      <c r="D66" s="138"/>
      <c r="E66" s="138"/>
      <c r="F66" s="138"/>
      <c r="G66" s="138"/>
      <c r="H66" s="138"/>
      <c r="I66" s="138"/>
    </row>
    <row r="67" spans="1:9">
      <c r="A67" s="134" t="s">
        <v>40</v>
      </c>
      <c r="B67" s="134"/>
      <c r="C67" s="134"/>
      <c r="D67" s="134"/>
      <c r="E67" s="134"/>
      <c r="F67" s="134"/>
      <c r="G67" s="134"/>
      <c r="H67" s="134"/>
      <c r="I67" s="134"/>
    </row>
    <row r="68" spans="1:9" ht="30.75" customHeight="1">
      <c r="A68" s="138" t="s">
        <v>119</v>
      </c>
      <c r="B68" s="138"/>
      <c r="C68" s="138"/>
      <c r="D68" s="138"/>
      <c r="E68" s="138"/>
      <c r="F68" s="138"/>
      <c r="G68" s="138"/>
      <c r="H68" s="138"/>
      <c r="I68" s="138"/>
    </row>
    <row r="69" spans="1:9">
      <c r="A69" s="134" t="s">
        <v>41</v>
      </c>
      <c r="B69" s="134"/>
      <c r="C69" s="134"/>
      <c r="D69" s="134"/>
      <c r="E69" s="134"/>
      <c r="F69" s="134"/>
      <c r="G69" s="134"/>
      <c r="H69" s="134"/>
      <c r="I69" s="134"/>
    </row>
    <row r="70" spans="1:9">
      <c r="A70" s="134" t="s">
        <v>42</v>
      </c>
      <c r="B70" s="134"/>
      <c r="C70" s="134"/>
      <c r="D70" s="134"/>
      <c r="E70" s="134"/>
      <c r="F70" s="134"/>
      <c r="G70" s="134"/>
      <c r="H70" s="134"/>
      <c r="I70" s="134"/>
    </row>
    <row r="71" spans="1:9">
      <c r="A71" s="134" t="s">
        <v>43</v>
      </c>
      <c r="B71" s="134"/>
      <c r="C71" s="134"/>
      <c r="D71" s="134"/>
      <c r="E71" s="134"/>
      <c r="F71" s="134"/>
      <c r="G71" s="134"/>
      <c r="H71" s="134"/>
      <c r="I71" s="134"/>
    </row>
    <row r="72" spans="1:9" ht="4.5" customHeight="1">
      <c r="A72" s="134"/>
      <c r="B72" s="134"/>
      <c r="C72" s="134"/>
      <c r="D72" s="134"/>
      <c r="E72" s="134"/>
      <c r="F72" s="134"/>
      <c r="G72" s="134"/>
      <c r="H72" s="134"/>
      <c r="I72" s="134"/>
    </row>
    <row r="73" spans="1:9" ht="43" customHeight="1">
      <c r="A73" s="135" t="s">
        <v>44</v>
      </c>
      <c r="B73" s="136"/>
      <c r="C73" s="137"/>
      <c r="D73" s="87"/>
      <c r="E73" s="69"/>
      <c r="F73" s="135" t="s">
        <v>45</v>
      </c>
      <c r="G73" s="136"/>
      <c r="H73" s="136"/>
      <c r="I73" s="137"/>
    </row>
    <row r="74" spans="1:9" ht="5.25" customHeight="1">
      <c r="A74" s="124"/>
      <c r="B74" s="125"/>
      <c r="C74" s="126"/>
      <c r="D74" s="88"/>
      <c r="E74" s="69"/>
      <c r="F74" s="127"/>
      <c r="G74" s="128"/>
      <c r="H74" s="128"/>
      <c r="I74" s="129"/>
    </row>
    <row r="75" spans="1:9">
      <c r="A75" s="89" t="s">
        <v>46</v>
      </c>
      <c r="B75" s="125"/>
      <c r="C75" s="126"/>
      <c r="D75" s="88"/>
      <c r="E75" s="69"/>
      <c r="F75" s="127"/>
      <c r="G75" s="128"/>
      <c r="H75" s="128"/>
      <c r="I75" s="129"/>
    </row>
    <row r="76" spans="1:9" ht="27" customHeight="1">
      <c r="A76" s="90" t="s">
        <v>47</v>
      </c>
      <c r="B76" s="130" t="s">
        <v>48</v>
      </c>
      <c r="C76" s="131"/>
      <c r="D76" s="88"/>
      <c r="E76" s="69"/>
      <c r="F76" s="91" t="s">
        <v>47</v>
      </c>
      <c r="G76" s="132" t="s">
        <v>49</v>
      </c>
      <c r="H76" s="132"/>
      <c r="I76" s="133"/>
    </row>
  </sheetData>
  <mergeCells count="78">
    <mergeCell ref="A1:I1"/>
    <mergeCell ref="A2:I2"/>
    <mergeCell ref="A4:B4"/>
    <mergeCell ref="C4:D4"/>
    <mergeCell ref="E4:F4"/>
    <mergeCell ref="G4:I4"/>
    <mergeCell ref="A5:B5"/>
    <mergeCell ref="C5:D5"/>
    <mergeCell ref="E5:F5"/>
    <mergeCell ref="G5:I5"/>
    <mergeCell ref="A6:B6"/>
    <mergeCell ref="C6:D6"/>
    <mergeCell ref="E6:F7"/>
    <mergeCell ref="G6:I7"/>
    <mergeCell ref="A7:B7"/>
    <mergeCell ref="C7:D7"/>
    <mergeCell ref="A8:B8"/>
    <mergeCell ref="C8:D8"/>
    <mergeCell ref="E8:F8"/>
    <mergeCell ref="G8:I8"/>
    <mergeCell ref="A9:B9"/>
    <mergeCell ref="C9:D9"/>
    <mergeCell ref="E9:F10"/>
    <mergeCell ref="G9:H9"/>
    <mergeCell ref="A10:B10"/>
    <mergeCell ref="C10:D10"/>
    <mergeCell ref="E17:F17"/>
    <mergeCell ref="G17:I17"/>
    <mergeCell ref="G10:H10"/>
    <mergeCell ref="A11:B11"/>
    <mergeCell ref="C11:D11"/>
    <mergeCell ref="A13:I13"/>
    <mergeCell ref="A15:I15"/>
    <mergeCell ref="A16:A17"/>
    <mergeCell ref="B16:B17"/>
    <mergeCell ref="C16:D17"/>
    <mergeCell ref="E16:F16"/>
    <mergeCell ref="G16:I16"/>
    <mergeCell ref="A22:E22"/>
    <mergeCell ref="A23:E23"/>
    <mergeCell ref="A19:I19"/>
    <mergeCell ref="F20:F21"/>
    <mergeCell ref="A20:E21"/>
    <mergeCell ref="H22:I22"/>
    <mergeCell ref="H23:I23"/>
    <mergeCell ref="H20:I21"/>
    <mergeCell ref="G20:G21"/>
    <mergeCell ref="A27:A28"/>
    <mergeCell ref="B27:B28"/>
    <mergeCell ref="C27:G27"/>
    <mergeCell ref="H24:I24"/>
    <mergeCell ref="A24:E24"/>
    <mergeCell ref="I27:I28"/>
    <mergeCell ref="A56:I56"/>
    <mergeCell ref="A55:I55"/>
    <mergeCell ref="A58:I58"/>
    <mergeCell ref="A59:I59"/>
    <mergeCell ref="A60:I60"/>
    <mergeCell ref="A61:I61"/>
    <mergeCell ref="A73:C73"/>
    <mergeCell ref="F73:I73"/>
    <mergeCell ref="A62:I62"/>
    <mergeCell ref="A63:I63"/>
    <mergeCell ref="A64:I64"/>
    <mergeCell ref="A65:I65"/>
    <mergeCell ref="A66:I66"/>
    <mergeCell ref="A67:I67"/>
    <mergeCell ref="A68:I68"/>
    <mergeCell ref="A69:I69"/>
    <mergeCell ref="A70:I70"/>
    <mergeCell ref="A71:I71"/>
    <mergeCell ref="A72:I72"/>
    <mergeCell ref="A74:C74"/>
    <mergeCell ref="F74:I74"/>
    <mergeCell ref="B75:C75"/>
    <mergeCell ref="F75:I75"/>
    <mergeCell ref="B76:C76"/>
    <mergeCell ref="G76:I7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C9F4-E036-4F18-950A-06F961880789}">
  <sheetPr codeName="Sheet2"/>
  <dimension ref="A1:AH28"/>
  <sheetViews>
    <sheetView workbookViewId="0">
      <selection activeCell="AH5" sqref="AH5"/>
    </sheetView>
  </sheetViews>
  <sheetFormatPr defaultRowHeight="14.5"/>
  <sheetData>
    <row r="1" spans="1:34">
      <c r="A1" t="s">
        <v>98</v>
      </c>
      <c r="H1" t="s">
        <v>99</v>
      </c>
      <c r="O1" t="s">
        <v>100</v>
      </c>
      <c r="V1" t="s">
        <v>101</v>
      </c>
      <c r="AC1" t="s">
        <v>102</v>
      </c>
    </row>
    <row r="2" spans="1:34">
      <c r="A2" t="s">
        <v>103</v>
      </c>
      <c r="B2">
        <v>7</v>
      </c>
      <c r="C2">
        <v>7</v>
      </c>
      <c r="D2">
        <v>10</v>
      </c>
      <c r="E2">
        <v>10</v>
      </c>
      <c r="F2">
        <v>12</v>
      </c>
      <c r="H2" t="s">
        <v>103</v>
      </c>
      <c r="I2">
        <v>7</v>
      </c>
      <c r="K2">
        <v>10</v>
      </c>
      <c r="M2">
        <v>12</v>
      </c>
      <c r="O2" t="s">
        <v>103</v>
      </c>
      <c r="P2">
        <v>7</v>
      </c>
      <c r="R2">
        <v>10</v>
      </c>
      <c r="T2">
        <v>12</v>
      </c>
      <c r="V2" t="s">
        <v>103</v>
      </c>
      <c r="W2">
        <v>7</v>
      </c>
      <c r="Y2">
        <v>10</v>
      </c>
      <c r="AA2">
        <v>12</v>
      </c>
      <c r="AC2" t="s">
        <v>103</v>
      </c>
      <c r="AD2">
        <v>7</v>
      </c>
      <c r="AF2">
        <v>10</v>
      </c>
      <c r="AH2">
        <v>12</v>
      </c>
    </row>
    <row r="3" spans="1:34">
      <c r="B3">
        <v>15</v>
      </c>
      <c r="C3">
        <v>20</v>
      </c>
      <c r="D3">
        <v>20</v>
      </c>
      <c r="E3">
        <v>25</v>
      </c>
      <c r="F3">
        <v>25</v>
      </c>
      <c r="I3">
        <v>15</v>
      </c>
      <c r="J3">
        <v>20</v>
      </c>
      <c r="K3">
        <v>20</v>
      </c>
      <c r="L3">
        <v>25</v>
      </c>
      <c r="M3">
        <v>25</v>
      </c>
      <c r="P3">
        <v>15</v>
      </c>
      <c r="Q3">
        <v>20</v>
      </c>
      <c r="R3">
        <v>20</v>
      </c>
      <c r="S3">
        <v>25</v>
      </c>
      <c r="T3">
        <v>25</v>
      </c>
      <c r="W3">
        <v>15</v>
      </c>
      <c r="X3">
        <v>20</v>
      </c>
      <c r="Y3">
        <v>20</v>
      </c>
      <c r="Z3">
        <v>25</v>
      </c>
      <c r="AA3">
        <v>25</v>
      </c>
      <c r="AD3">
        <v>15</v>
      </c>
      <c r="AE3">
        <v>20</v>
      </c>
      <c r="AF3">
        <v>20</v>
      </c>
      <c r="AG3">
        <v>25</v>
      </c>
      <c r="AH3">
        <v>25</v>
      </c>
    </row>
    <row r="4" spans="1:34">
      <c r="A4">
        <v>1</v>
      </c>
      <c r="B4">
        <v>0</v>
      </c>
      <c r="C4">
        <v>0</v>
      </c>
      <c r="D4">
        <v>0</v>
      </c>
      <c r="E4">
        <v>0</v>
      </c>
      <c r="F4">
        <v>0</v>
      </c>
      <c r="H4">
        <v>1</v>
      </c>
      <c r="I4">
        <f>I5</f>
        <v>8.4030000000000005</v>
      </c>
      <c r="J4">
        <f t="shared" ref="J4:M4" si="0">J5</f>
        <v>9.7965999999999998</v>
      </c>
      <c r="K4">
        <f t="shared" si="0"/>
        <v>9.7965999999999998</v>
      </c>
      <c r="L4">
        <f t="shared" si="0"/>
        <v>10.7258</v>
      </c>
      <c r="M4">
        <f t="shared" si="0"/>
        <v>10.7258</v>
      </c>
      <c r="O4">
        <v>1</v>
      </c>
      <c r="P4">
        <f>P5</f>
        <v>4.8806000000000003</v>
      </c>
      <c r="Q4">
        <f t="shared" ref="Q4:T4" si="1">Q5</f>
        <v>7.6458000000000004</v>
      </c>
      <c r="R4">
        <f t="shared" si="1"/>
        <v>4.7858000000000001</v>
      </c>
      <c r="S4">
        <f t="shared" si="1"/>
        <v>6.8146000000000004</v>
      </c>
      <c r="T4">
        <f t="shared" si="1"/>
        <v>5.1589</v>
      </c>
      <c r="V4">
        <v>1</v>
      </c>
      <c r="W4">
        <f>W5</f>
        <v>2.4300000000000002</v>
      </c>
      <c r="X4">
        <f t="shared" ref="X4:AA4" si="2">X5</f>
        <v>3.1053999999999999</v>
      </c>
      <c r="Y4">
        <f t="shared" si="2"/>
        <v>2.4733999999999998</v>
      </c>
      <c r="Z4">
        <f t="shared" si="2"/>
        <v>2.8279999999999998</v>
      </c>
      <c r="AA4">
        <f t="shared" si="2"/>
        <v>2.1204000000000001</v>
      </c>
      <c r="AC4">
        <v>1</v>
      </c>
      <c r="AD4">
        <f>AD5</f>
        <v>0.3755</v>
      </c>
      <c r="AE4">
        <f t="shared" ref="AE4:AH4" si="3">AE5</f>
        <v>0.27139999999999997</v>
      </c>
      <c r="AF4">
        <f t="shared" si="3"/>
        <v>0.27139999999999997</v>
      </c>
      <c r="AG4">
        <f t="shared" si="3"/>
        <v>0.20180000000000001</v>
      </c>
      <c r="AH4">
        <f t="shared" si="3"/>
        <v>0.20180000000000001</v>
      </c>
    </row>
    <row r="5" spans="1:34">
      <c r="A5">
        <v>2</v>
      </c>
      <c r="B5">
        <v>0.35</v>
      </c>
      <c r="C5">
        <v>0.35</v>
      </c>
      <c r="D5">
        <v>0.35</v>
      </c>
      <c r="E5">
        <v>0.35</v>
      </c>
      <c r="F5">
        <v>0.35</v>
      </c>
      <c r="H5">
        <v>2</v>
      </c>
      <c r="I5">
        <v>8.4030000000000005</v>
      </c>
      <c r="J5">
        <v>9.7965999999999998</v>
      </c>
      <c r="K5">
        <v>9.7965999999999998</v>
      </c>
      <c r="L5">
        <v>10.7258</v>
      </c>
      <c r="M5">
        <v>10.7258</v>
      </c>
      <c r="O5">
        <v>2</v>
      </c>
      <c r="P5">
        <v>4.8806000000000003</v>
      </c>
      <c r="Q5">
        <v>7.6458000000000004</v>
      </c>
      <c r="R5">
        <v>4.7858000000000001</v>
      </c>
      <c r="S5">
        <v>6.8146000000000004</v>
      </c>
      <c r="T5">
        <v>5.1589</v>
      </c>
      <c r="V5">
        <v>2</v>
      </c>
      <c r="W5">
        <v>2.4300000000000002</v>
      </c>
      <c r="X5">
        <v>3.1053999999999999</v>
      </c>
      <c r="Y5">
        <v>2.4733999999999998</v>
      </c>
      <c r="Z5">
        <v>2.8279999999999998</v>
      </c>
      <c r="AA5">
        <v>2.1204000000000001</v>
      </c>
      <c r="AC5">
        <v>2</v>
      </c>
      <c r="AD5">
        <v>0.3755</v>
      </c>
      <c r="AE5">
        <v>0.27139999999999997</v>
      </c>
      <c r="AF5">
        <v>0.27139999999999997</v>
      </c>
      <c r="AG5">
        <v>0.20180000000000001</v>
      </c>
      <c r="AH5">
        <v>0.20180000000000001</v>
      </c>
    </row>
    <row r="6" spans="1:34">
      <c r="A6">
        <v>3</v>
      </c>
      <c r="B6">
        <v>0.35</v>
      </c>
      <c r="C6">
        <v>0.35</v>
      </c>
      <c r="D6">
        <v>0.35</v>
      </c>
      <c r="E6">
        <v>0.35</v>
      </c>
      <c r="F6">
        <v>0.35</v>
      </c>
      <c r="H6">
        <v>3</v>
      </c>
      <c r="I6">
        <v>8.0398999999999994</v>
      </c>
      <c r="J6">
        <v>9.5391999999999992</v>
      </c>
      <c r="K6">
        <v>9.5391999999999992</v>
      </c>
      <c r="L6">
        <v>10.5387</v>
      </c>
      <c r="M6">
        <v>10.5387</v>
      </c>
      <c r="O6">
        <v>3</v>
      </c>
      <c r="P6">
        <v>5.2504999999999997</v>
      </c>
      <c r="Q6">
        <v>8.2253000000000007</v>
      </c>
      <c r="R6">
        <v>5.1486000000000001</v>
      </c>
      <c r="S6">
        <v>7.3311000000000002</v>
      </c>
      <c r="T6">
        <v>5.55</v>
      </c>
      <c r="V6">
        <v>3</v>
      </c>
      <c r="W6">
        <v>2.6141000000000001</v>
      </c>
      <c r="X6">
        <v>3.3408000000000002</v>
      </c>
      <c r="Y6">
        <v>2.6608999999999998</v>
      </c>
      <c r="Z6">
        <v>3.0424000000000002</v>
      </c>
      <c r="AA6">
        <v>2.2812000000000001</v>
      </c>
      <c r="AC6">
        <v>3</v>
      </c>
      <c r="AD6">
        <v>0.40239999999999998</v>
      </c>
      <c r="AE6">
        <v>0.29039999999999999</v>
      </c>
      <c r="AF6">
        <v>0.29039999999999999</v>
      </c>
      <c r="AG6">
        <v>0.21560000000000001</v>
      </c>
      <c r="AH6">
        <v>0.21560000000000001</v>
      </c>
    </row>
    <row r="7" spans="1:34">
      <c r="A7">
        <v>4</v>
      </c>
      <c r="B7">
        <v>0.5</v>
      </c>
      <c r="C7">
        <v>0.5</v>
      </c>
      <c r="D7">
        <v>0.5</v>
      </c>
      <c r="E7">
        <v>0.5</v>
      </c>
      <c r="F7">
        <v>0.5</v>
      </c>
      <c r="H7">
        <v>4</v>
      </c>
      <c r="I7">
        <v>7.6505000000000001</v>
      </c>
      <c r="J7">
        <v>9.2636000000000003</v>
      </c>
      <c r="K7">
        <v>9.2636000000000003</v>
      </c>
      <c r="L7">
        <v>10.3391</v>
      </c>
      <c r="M7">
        <v>10.3391</v>
      </c>
      <c r="O7">
        <v>4</v>
      </c>
      <c r="P7">
        <v>5.6493000000000002</v>
      </c>
      <c r="Q7">
        <v>8.85</v>
      </c>
      <c r="R7">
        <v>5.5396000000000001</v>
      </c>
      <c r="S7">
        <v>7.8878000000000004</v>
      </c>
      <c r="T7">
        <v>5.9714999999999998</v>
      </c>
      <c r="V7">
        <v>4</v>
      </c>
      <c r="W7">
        <v>2.8127</v>
      </c>
      <c r="X7">
        <v>3.5945</v>
      </c>
      <c r="Y7">
        <v>2.863</v>
      </c>
      <c r="Z7">
        <v>3.2734999999999999</v>
      </c>
      <c r="AA7">
        <v>2.4544000000000001</v>
      </c>
      <c r="AC7">
        <v>4</v>
      </c>
      <c r="AD7">
        <v>0.43120000000000003</v>
      </c>
      <c r="AE7">
        <v>0.31080000000000002</v>
      </c>
      <c r="AF7">
        <v>0.31080000000000002</v>
      </c>
      <c r="AG7">
        <v>0.23019999999999999</v>
      </c>
      <c r="AH7">
        <v>0.23019999999999999</v>
      </c>
    </row>
    <row r="8" spans="1:34">
      <c r="A8">
        <v>5</v>
      </c>
      <c r="B8">
        <v>0.5</v>
      </c>
      <c r="C8">
        <v>0.5</v>
      </c>
      <c r="D8">
        <v>0.5</v>
      </c>
      <c r="E8">
        <v>0.5</v>
      </c>
      <c r="F8">
        <v>0.5</v>
      </c>
      <c r="H8">
        <v>5</v>
      </c>
      <c r="I8">
        <v>7.2328000000000001</v>
      </c>
      <c r="J8">
        <v>8.9687999999999999</v>
      </c>
      <c r="K8">
        <v>8.9687999999999999</v>
      </c>
      <c r="L8">
        <v>10.126099999999999</v>
      </c>
      <c r="M8">
        <v>10.126099999999999</v>
      </c>
      <c r="O8">
        <v>5</v>
      </c>
      <c r="P8">
        <v>6.0792999999999999</v>
      </c>
      <c r="Q8">
        <v>9.5236000000000001</v>
      </c>
      <c r="R8">
        <v>5.9612999999999996</v>
      </c>
      <c r="S8">
        <v>8.4883000000000006</v>
      </c>
      <c r="T8">
        <v>6.4260000000000002</v>
      </c>
      <c r="V8">
        <v>5</v>
      </c>
      <c r="W8">
        <v>3.0268000000000002</v>
      </c>
      <c r="X8">
        <v>3.8681000000000001</v>
      </c>
      <c r="Y8">
        <v>3.0809000000000002</v>
      </c>
      <c r="Z8">
        <v>3.5226000000000002</v>
      </c>
      <c r="AA8">
        <v>2.6412</v>
      </c>
      <c r="AC8">
        <v>5</v>
      </c>
      <c r="AD8">
        <v>0.4622</v>
      </c>
      <c r="AE8">
        <v>0.33260000000000001</v>
      </c>
      <c r="AF8">
        <v>0.33260000000000001</v>
      </c>
      <c r="AG8">
        <v>0.24590000000000001</v>
      </c>
      <c r="AH8">
        <v>0.24590000000000001</v>
      </c>
    </row>
    <row r="9" spans="1:34">
      <c r="A9">
        <v>6</v>
      </c>
      <c r="B9">
        <v>0.5</v>
      </c>
      <c r="C9">
        <v>0.5</v>
      </c>
      <c r="D9">
        <v>0.5</v>
      </c>
      <c r="E9">
        <v>0.5</v>
      </c>
      <c r="F9">
        <v>0.5</v>
      </c>
      <c r="H9">
        <v>6</v>
      </c>
      <c r="I9">
        <v>6.7847999999999997</v>
      </c>
      <c r="J9">
        <v>8.6532999999999998</v>
      </c>
      <c r="K9">
        <v>8.6532999999999998</v>
      </c>
      <c r="L9">
        <v>9.8988999999999994</v>
      </c>
      <c r="M9">
        <v>9.8988999999999994</v>
      </c>
      <c r="O9">
        <v>6</v>
      </c>
      <c r="P9">
        <v>6.5431999999999997</v>
      </c>
      <c r="Q9">
        <v>10.250500000000001</v>
      </c>
      <c r="R9">
        <v>6.4161999999999999</v>
      </c>
      <c r="S9">
        <v>9.1361000000000008</v>
      </c>
      <c r="T9">
        <v>6.9164000000000003</v>
      </c>
      <c r="V9">
        <v>6</v>
      </c>
      <c r="W9">
        <v>2.2578</v>
      </c>
      <c r="X9">
        <v>3.1633</v>
      </c>
      <c r="Y9">
        <v>3.3159999999999998</v>
      </c>
      <c r="Z9">
        <v>3.7915000000000001</v>
      </c>
      <c r="AA9">
        <v>2.8428</v>
      </c>
      <c r="AC9">
        <v>6</v>
      </c>
      <c r="AD9">
        <v>0.49540000000000001</v>
      </c>
      <c r="AE9">
        <v>0.35589999999999999</v>
      </c>
      <c r="AF9">
        <v>0.35589999999999999</v>
      </c>
      <c r="AG9">
        <v>0.2626</v>
      </c>
      <c r="AH9">
        <v>0.2626</v>
      </c>
    </row>
    <row r="10" spans="1:34">
      <c r="A10">
        <v>7</v>
      </c>
      <c r="B10">
        <v>0.5</v>
      </c>
      <c r="C10">
        <v>0.5</v>
      </c>
      <c r="D10">
        <v>0.5</v>
      </c>
      <c r="E10">
        <v>0.5</v>
      </c>
      <c r="F10">
        <v>0.5</v>
      </c>
      <c r="H10">
        <v>7</v>
      </c>
      <c r="I10">
        <v>6.3042999999999996</v>
      </c>
      <c r="J10">
        <v>8.3156999999999996</v>
      </c>
      <c r="K10">
        <v>8.3156999999999996</v>
      </c>
      <c r="L10">
        <v>9.6568000000000005</v>
      </c>
      <c r="M10">
        <v>9.6568000000000005</v>
      </c>
      <c r="O10">
        <v>7</v>
      </c>
      <c r="P10">
        <v>7.0442</v>
      </c>
      <c r="Q10">
        <v>11.0352</v>
      </c>
      <c r="R10">
        <v>6.9074</v>
      </c>
      <c r="S10">
        <v>9.8354999999999997</v>
      </c>
      <c r="T10">
        <v>7.4459</v>
      </c>
      <c r="V10">
        <v>7</v>
      </c>
      <c r="W10">
        <v>1.4306000000000001</v>
      </c>
      <c r="X10">
        <v>2.4055</v>
      </c>
      <c r="Y10">
        <v>3.5699000000000001</v>
      </c>
      <c r="Z10">
        <v>4.0816999999999997</v>
      </c>
      <c r="AA10">
        <v>3.0604</v>
      </c>
      <c r="AC10">
        <v>7</v>
      </c>
      <c r="AD10">
        <v>0.53100000000000003</v>
      </c>
      <c r="AE10">
        <v>0.38080000000000003</v>
      </c>
      <c r="AF10">
        <v>0.38080000000000003</v>
      </c>
      <c r="AG10">
        <v>0.28039999999999998</v>
      </c>
      <c r="AH10">
        <v>0.28039999999999998</v>
      </c>
    </row>
    <row r="11" spans="1:34">
      <c r="A11">
        <v>8</v>
      </c>
      <c r="B11">
        <v>0.55710000000000004</v>
      </c>
      <c r="C11">
        <v>0.5333</v>
      </c>
      <c r="D11">
        <v>0.5333</v>
      </c>
      <c r="E11">
        <v>0.52349999999999997</v>
      </c>
      <c r="F11">
        <v>0.52349999999999997</v>
      </c>
      <c r="H11">
        <v>8</v>
      </c>
      <c r="I11">
        <v>5.7885999999999997</v>
      </c>
      <c r="J11">
        <v>7.9546000000000001</v>
      </c>
      <c r="K11">
        <v>7.9546000000000001</v>
      </c>
      <c r="L11">
        <v>9.3986999999999998</v>
      </c>
      <c r="M11">
        <v>9.3986999999999998</v>
      </c>
      <c r="O11">
        <v>8</v>
      </c>
      <c r="P11">
        <v>7.5853999999999999</v>
      </c>
      <c r="Q11">
        <v>11.882999999999999</v>
      </c>
      <c r="R11">
        <v>7.4381000000000004</v>
      </c>
      <c r="S11">
        <v>10.591100000000001</v>
      </c>
      <c r="T11">
        <v>8.0180000000000007</v>
      </c>
      <c r="V11">
        <v>8</v>
      </c>
      <c r="W11">
        <v>1.5405</v>
      </c>
      <c r="X11">
        <v>2.5903</v>
      </c>
      <c r="Y11">
        <v>3.8441000000000001</v>
      </c>
      <c r="Z11">
        <v>4.3952999999999998</v>
      </c>
      <c r="AA11">
        <v>3.2955999999999999</v>
      </c>
      <c r="AC11">
        <v>8</v>
      </c>
      <c r="AD11">
        <v>0.56930000000000003</v>
      </c>
      <c r="AE11">
        <v>0.40760000000000002</v>
      </c>
      <c r="AF11">
        <v>0.40760000000000002</v>
      </c>
      <c r="AG11">
        <v>0.2994</v>
      </c>
      <c r="AH11">
        <v>0.2994</v>
      </c>
    </row>
    <row r="12" spans="1:34">
      <c r="A12">
        <v>9</v>
      </c>
      <c r="B12">
        <v>0.61429999999999996</v>
      </c>
      <c r="C12">
        <v>0.56669999999999998</v>
      </c>
      <c r="D12">
        <v>0.56669999999999998</v>
      </c>
      <c r="E12">
        <v>0.54710000000000003</v>
      </c>
      <c r="F12">
        <v>0.54710000000000003</v>
      </c>
      <c r="H12">
        <v>9</v>
      </c>
      <c r="I12">
        <v>5.2351999999999999</v>
      </c>
      <c r="J12">
        <v>7.5682999999999998</v>
      </c>
      <c r="K12">
        <v>7.5682999999999998</v>
      </c>
      <c r="L12">
        <v>9.1237999999999992</v>
      </c>
      <c r="M12">
        <v>9.1237999999999992</v>
      </c>
      <c r="O12">
        <v>9</v>
      </c>
      <c r="P12">
        <v>7.1706000000000003</v>
      </c>
      <c r="Q12">
        <v>11.7997</v>
      </c>
      <c r="R12">
        <v>8.0119000000000007</v>
      </c>
      <c r="S12">
        <v>11.408200000000001</v>
      </c>
      <c r="T12">
        <v>8.6365999999999996</v>
      </c>
      <c r="V12">
        <v>9</v>
      </c>
      <c r="W12">
        <v>1.6594</v>
      </c>
      <c r="X12">
        <v>2.7900999999999998</v>
      </c>
      <c r="Y12">
        <v>3.1406999999999998</v>
      </c>
      <c r="Z12">
        <v>3.7343999999999999</v>
      </c>
      <c r="AA12">
        <v>3.5497999999999998</v>
      </c>
      <c r="AC12">
        <v>9</v>
      </c>
      <c r="AD12">
        <v>0.61040000000000005</v>
      </c>
      <c r="AE12">
        <v>0.43619999999999998</v>
      </c>
      <c r="AF12">
        <v>0.43619999999999998</v>
      </c>
      <c r="AG12">
        <v>0.3196</v>
      </c>
      <c r="AH12">
        <v>0.3196</v>
      </c>
    </row>
    <row r="13" spans="1:34">
      <c r="A13">
        <v>10</v>
      </c>
      <c r="B13">
        <v>0.6714</v>
      </c>
      <c r="C13">
        <v>0.6</v>
      </c>
      <c r="D13">
        <v>0.6</v>
      </c>
      <c r="E13">
        <v>0.5706</v>
      </c>
      <c r="F13">
        <v>0.5706</v>
      </c>
      <c r="H13">
        <v>10</v>
      </c>
      <c r="I13">
        <v>4.641</v>
      </c>
      <c r="J13">
        <v>7.1548999999999996</v>
      </c>
      <c r="K13">
        <v>7.1548999999999996</v>
      </c>
      <c r="L13">
        <v>8.8308999999999997</v>
      </c>
      <c r="M13">
        <v>8.8308999999999997</v>
      </c>
      <c r="O13">
        <v>10</v>
      </c>
      <c r="P13">
        <v>6.6264000000000003</v>
      </c>
      <c r="Q13">
        <v>11.6144</v>
      </c>
      <c r="R13">
        <v>8.6329999999999991</v>
      </c>
      <c r="S13">
        <v>12.2925</v>
      </c>
      <c r="T13">
        <v>9.3059999999999992</v>
      </c>
      <c r="V13">
        <v>10</v>
      </c>
      <c r="W13">
        <v>1.788</v>
      </c>
      <c r="X13">
        <v>3.0064000000000002</v>
      </c>
      <c r="Y13">
        <v>2.3841999999999999</v>
      </c>
      <c r="Z13">
        <v>3.0238999999999998</v>
      </c>
      <c r="AA13">
        <v>3.8250000000000002</v>
      </c>
      <c r="AC13">
        <v>10</v>
      </c>
      <c r="AD13">
        <v>0.65449999999999997</v>
      </c>
      <c r="AE13">
        <v>0.46679999999999999</v>
      </c>
      <c r="AF13">
        <v>0.46679999999999999</v>
      </c>
      <c r="AG13">
        <v>0.3412</v>
      </c>
      <c r="AH13">
        <v>0.3412</v>
      </c>
    </row>
    <row r="14" spans="1:34">
      <c r="A14">
        <v>11</v>
      </c>
      <c r="B14">
        <v>0.72860000000000003</v>
      </c>
      <c r="C14">
        <v>0.63329999999999997</v>
      </c>
      <c r="D14">
        <v>0.63329999999999997</v>
      </c>
      <c r="E14">
        <v>0.59409999999999996</v>
      </c>
      <c r="F14">
        <v>0.59409999999999996</v>
      </c>
      <c r="H14">
        <v>11</v>
      </c>
      <c r="I14">
        <v>4.0026000000000002</v>
      </c>
      <c r="J14">
        <v>6.7125000000000004</v>
      </c>
      <c r="K14">
        <v>6.7125000000000004</v>
      </c>
      <c r="L14">
        <v>8.5190999999999999</v>
      </c>
      <c r="M14">
        <v>8.5190999999999999</v>
      </c>
      <c r="O14">
        <v>11</v>
      </c>
      <c r="P14">
        <v>5.9427000000000003</v>
      </c>
      <c r="Q14">
        <v>11.3194</v>
      </c>
      <c r="R14">
        <v>9.3056999999999999</v>
      </c>
      <c r="S14">
        <v>13.250400000000001</v>
      </c>
      <c r="T14">
        <v>10.0312</v>
      </c>
      <c r="V14">
        <v>11</v>
      </c>
      <c r="W14">
        <v>0.92730000000000001</v>
      </c>
      <c r="X14">
        <v>2.2406000000000001</v>
      </c>
      <c r="Y14">
        <v>2.5699000000000001</v>
      </c>
      <c r="Z14">
        <v>3.2595000000000001</v>
      </c>
      <c r="AA14">
        <v>3.1230000000000002</v>
      </c>
      <c r="AC14">
        <v>11</v>
      </c>
      <c r="AD14">
        <v>0.70189999999999997</v>
      </c>
      <c r="AE14">
        <v>0.49959999999999999</v>
      </c>
      <c r="AF14">
        <v>0.49959999999999999</v>
      </c>
      <c r="AG14">
        <v>0.36420000000000002</v>
      </c>
      <c r="AH14">
        <v>0.36420000000000002</v>
      </c>
    </row>
    <row r="15" spans="1:34">
      <c r="A15">
        <v>12</v>
      </c>
      <c r="B15">
        <v>0.78569999999999995</v>
      </c>
      <c r="C15">
        <v>0.66669999999999996</v>
      </c>
      <c r="D15">
        <v>0.66669999999999996</v>
      </c>
      <c r="E15">
        <v>0.61760000000000004</v>
      </c>
      <c r="F15">
        <v>0.61760000000000004</v>
      </c>
      <c r="H15">
        <v>12</v>
      </c>
      <c r="I15">
        <v>3.3163999999999998</v>
      </c>
      <c r="J15">
        <v>6.2385999999999999</v>
      </c>
      <c r="K15">
        <v>6.2385999999999999</v>
      </c>
      <c r="L15">
        <v>8.1868999999999996</v>
      </c>
      <c r="M15">
        <v>8.1868999999999996</v>
      </c>
      <c r="O15">
        <v>12</v>
      </c>
      <c r="P15">
        <v>5.1085000000000003</v>
      </c>
      <c r="Q15">
        <v>10.906700000000001</v>
      </c>
      <c r="R15">
        <v>9.0350999999999999</v>
      </c>
      <c r="S15">
        <v>13.289</v>
      </c>
      <c r="T15">
        <v>10.817500000000001</v>
      </c>
      <c r="V15">
        <v>12</v>
      </c>
      <c r="W15">
        <v>0</v>
      </c>
      <c r="X15">
        <v>1.4162999999999999</v>
      </c>
      <c r="Y15">
        <v>2.7713999999999999</v>
      </c>
      <c r="Z15">
        <v>3.5150000000000001</v>
      </c>
      <c r="AA15">
        <v>2.3677999999999999</v>
      </c>
      <c r="AC15">
        <v>12</v>
      </c>
      <c r="AD15">
        <v>0.753</v>
      </c>
      <c r="AE15">
        <v>0.53480000000000005</v>
      </c>
      <c r="AF15">
        <v>0.53480000000000005</v>
      </c>
      <c r="AG15">
        <v>0.38879999999999998</v>
      </c>
      <c r="AH15">
        <v>0.38879999999999998</v>
      </c>
    </row>
    <row r="16" spans="1:34">
      <c r="A16">
        <v>13</v>
      </c>
      <c r="B16">
        <v>0.84289999999999998</v>
      </c>
      <c r="C16">
        <v>0.7</v>
      </c>
      <c r="D16">
        <v>0.7</v>
      </c>
      <c r="E16">
        <v>0.64119999999999999</v>
      </c>
      <c r="F16">
        <v>0.64119999999999999</v>
      </c>
      <c r="H16">
        <v>13</v>
      </c>
      <c r="I16">
        <v>2.5779999999999998</v>
      </c>
      <c r="J16">
        <v>5.7308000000000003</v>
      </c>
      <c r="K16">
        <v>5.7308000000000003</v>
      </c>
      <c r="L16">
        <v>7.8327999999999998</v>
      </c>
      <c r="M16">
        <v>7.8327999999999998</v>
      </c>
      <c r="O16">
        <v>13</v>
      </c>
      <c r="P16">
        <v>4.1116000000000001</v>
      </c>
      <c r="Q16">
        <v>10.367100000000001</v>
      </c>
      <c r="R16">
        <v>8.6478999999999999</v>
      </c>
      <c r="S16">
        <v>13.237399999999999</v>
      </c>
      <c r="T16">
        <v>11.6709</v>
      </c>
      <c r="V16">
        <v>13</v>
      </c>
      <c r="W16">
        <v>0</v>
      </c>
      <c r="X16">
        <v>1.528</v>
      </c>
      <c r="Y16">
        <v>2.99</v>
      </c>
      <c r="Z16">
        <v>3.7923</v>
      </c>
      <c r="AA16">
        <v>2.5546000000000002</v>
      </c>
      <c r="AC16">
        <v>13</v>
      </c>
      <c r="AD16">
        <v>0.80789999999999995</v>
      </c>
      <c r="AE16">
        <v>0.57250000000000001</v>
      </c>
      <c r="AF16">
        <v>0.57250000000000001</v>
      </c>
      <c r="AG16">
        <v>0.41499999999999998</v>
      </c>
      <c r="AH16">
        <v>0.41499999999999998</v>
      </c>
    </row>
    <row r="17" spans="1:34">
      <c r="A17">
        <v>14</v>
      </c>
      <c r="B17">
        <v>0.9</v>
      </c>
      <c r="C17">
        <v>0.73329999999999995</v>
      </c>
      <c r="D17">
        <v>0.73329999999999995</v>
      </c>
      <c r="E17">
        <v>0.66469999999999996</v>
      </c>
      <c r="F17">
        <v>0.66469999999999996</v>
      </c>
      <c r="H17">
        <v>14</v>
      </c>
      <c r="I17">
        <v>1.7827999999999999</v>
      </c>
      <c r="J17">
        <v>5.1859999999999999</v>
      </c>
      <c r="K17">
        <v>5.1859999999999999</v>
      </c>
      <c r="L17">
        <v>7.4549000000000003</v>
      </c>
      <c r="M17">
        <v>7.4549000000000003</v>
      </c>
      <c r="O17">
        <v>14</v>
      </c>
      <c r="P17">
        <v>2.9380999999999999</v>
      </c>
      <c r="Q17">
        <v>9.6905999999999999</v>
      </c>
      <c r="R17">
        <v>8.1348000000000003</v>
      </c>
      <c r="S17">
        <v>13.088900000000001</v>
      </c>
      <c r="T17">
        <v>11.597899999999999</v>
      </c>
      <c r="V17">
        <v>14</v>
      </c>
      <c r="W17">
        <v>0</v>
      </c>
      <c r="X17">
        <v>1.6494</v>
      </c>
      <c r="Y17">
        <v>2.2275</v>
      </c>
      <c r="Z17">
        <v>3.0935000000000001</v>
      </c>
      <c r="AA17">
        <v>2.7574999999999998</v>
      </c>
      <c r="AC17">
        <v>14</v>
      </c>
      <c r="AD17">
        <v>0.86709999999999998</v>
      </c>
      <c r="AE17">
        <v>0.61299999999999999</v>
      </c>
      <c r="AF17">
        <v>0.61299999999999999</v>
      </c>
      <c r="AG17">
        <v>0.443</v>
      </c>
      <c r="AH17">
        <v>0.443</v>
      </c>
    </row>
    <row r="18" spans="1:34">
      <c r="A18">
        <v>15</v>
      </c>
      <c r="B18">
        <v>0.9</v>
      </c>
      <c r="C18">
        <v>0.76670000000000005</v>
      </c>
      <c r="D18">
        <v>0.76670000000000005</v>
      </c>
      <c r="E18">
        <v>0.68820000000000003</v>
      </c>
      <c r="F18">
        <v>0.68820000000000003</v>
      </c>
      <c r="H18">
        <v>15</v>
      </c>
      <c r="I18">
        <v>0.9254</v>
      </c>
      <c r="J18">
        <v>4.6009000000000002</v>
      </c>
      <c r="K18">
        <v>4.6009000000000002</v>
      </c>
      <c r="L18">
        <v>7.0513000000000003</v>
      </c>
      <c r="M18">
        <v>7.0513000000000003</v>
      </c>
      <c r="O18">
        <v>15</v>
      </c>
      <c r="P18">
        <v>1.5731999999999999</v>
      </c>
      <c r="Q18">
        <v>8.8658999999999999</v>
      </c>
      <c r="R18">
        <v>7.4855999999999998</v>
      </c>
      <c r="S18">
        <v>12.836</v>
      </c>
      <c r="T18">
        <v>11.425800000000001</v>
      </c>
      <c r="V18">
        <v>15</v>
      </c>
      <c r="W18">
        <v>0</v>
      </c>
      <c r="X18">
        <v>1.7813000000000001</v>
      </c>
      <c r="Y18">
        <v>1.4056999999999999</v>
      </c>
      <c r="Z18">
        <v>2.3410000000000002</v>
      </c>
      <c r="AA18">
        <v>2.9781</v>
      </c>
      <c r="AC18">
        <v>15</v>
      </c>
      <c r="AD18">
        <v>0.93100000000000005</v>
      </c>
      <c r="AE18">
        <v>0.65659999999999996</v>
      </c>
      <c r="AF18">
        <v>0.65659999999999996</v>
      </c>
      <c r="AG18">
        <v>0.47299999999999998</v>
      </c>
      <c r="AH18">
        <v>0.47299999999999998</v>
      </c>
    </row>
    <row r="19" spans="1:34">
      <c r="A19">
        <v>16</v>
      </c>
      <c r="B19">
        <v>0</v>
      </c>
      <c r="C19">
        <v>0.8</v>
      </c>
      <c r="D19">
        <v>0.8</v>
      </c>
      <c r="E19">
        <v>0.71179999999999999</v>
      </c>
      <c r="F19">
        <v>0.71179999999999999</v>
      </c>
      <c r="H19">
        <v>16</v>
      </c>
      <c r="I19">
        <v>0</v>
      </c>
      <c r="J19">
        <v>3.9716999999999998</v>
      </c>
      <c r="K19">
        <v>3.9716999999999998</v>
      </c>
      <c r="L19">
        <v>6.6196000000000002</v>
      </c>
      <c r="M19">
        <v>6.6196000000000002</v>
      </c>
      <c r="O19">
        <v>16</v>
      </c>
      <c r="P19">
        <v>0</v>
      </c>
      <c r="Q19">
        <v>7.8803999999999998</v>
      </c>
      <c r="R19">
        <v>6.6889000000000003</v>
      </c>
      <c r="S19">
        <v>12.470599999999999</v>
      </c>
      <c r="T19">
        <v>11.146599999999999</v>
      </c>
      <c r="V19">
        <v>16</v>
      </c>
      <c r="W19">
        <v>0</v>
      </c>
      <c r="X19">
        <v>0.92490000000000006</v>
      </c>
      <c r="Y19">
        <v>1.5189999999999999</v>
      </c>
      <c r="Z19">
        <v>2.5297000000000001</v>
      </c>
      <c r="AA19">
        <v>2.2181999999999999</v>
      </c>
      <c r="AC19">
        <v>16</v>
      </c>
      <c r="AE19">
        <v>0.70340000000000003</v>
      </c>
      <c r="AF19">
        <v>0.70340000000000003</v>
      </c>
      <c r="AG19">
        <v>0.505</v>
      </c>
      <c r="AH19">
        <v>0.505</v>
      </c>
    </row>
    <row r="20" spans="1:34">
      <c r="A20">
        <v>17</v>
      </c>
      <c r="B20">
        <v>0</v>
      </c>
      <c r="C20">
        <v>0.83330000000000004</v>
      </c>
      <c r="D20">
        <v>0.83330000000000004</v>
      </c>
      <c r="E20">
        <v>0.73529999999999995</v>
      </c>
      <c r="F20">
        <v>0.73529999999999995</v>
      </c>
      <c r="H20">
        <v>17</v>
      </c>
      <c r="I20">
        <v>0</v>
      </c>
      <c r="J20">
        <v>3.2942</v>
      </c>
      <c r="K20">
        <v>3.2942</v>
      </c>
      <c r="L20">
        <v>6.1571999999999996</v>
      </c>
      <c r="M20">
        <v>6.1571999999999996</v>
      </c>
      <c r="O20">
        <v>17</v>
      </c>
      <c r="P20">
        <v>0</v>
      </c>
      <c r="Q20">
        <v>6.7202999999999999</v>
      </c>
      <c r="R20">
        <v>5.7321</v>
      </c>
      <c r="S20">
        <v>11.9832</v>
      </c>
      <c r="T20">
        <v>10.751799999999999</v>
      </c>
      <c r="V20">
        <v>17</v>
      </c>
      <c r="W20">
        <v>0</v>
      </c>
      <c r="X20">
        <v>0</v>
      </c>
      <c r="Y20">
        <v>1.6424000000000001</v>
      </c>
      <c r="Z20">
        <v>2.7351000000000001</v>
      </c>
      <c r="AA20">
        <v>1.3983000000000001</v>
      </c>
      <c r="AC20">
        <v>17</v>
      </c>
      <c r="AE20">
        <v>0.75390000000000001</v>
      </c>
      <c r="AF20">
        <v>0.75390000000000001</v>
      </c>
      <c r="AG20">
        <v>0.53939999999999999</v>
      </c>
      <c r="AH20">
        <v>0.53939999999999999</v>
      </c>
    </row>
    <row r="21" spans="1:34">
      <c r="A21">
        <v>18</v>
      </c>
      <c r="B21">
        <v>0</v>
      </c>
      <c r="C21">
        <v>0.86670000000000003</v>
      </c>
      <c r="D21">
        <v>0.86670000000000003</v>
      </c>
      <c r="E21">
        <v>0.75880000000000003</v>
      </c>
      <c r="F21">
        <v>0.75880000000000003</v>
      </c>
      <c r="H21">
        <v>18</v>
      </c>
      <c r="I21">
        <v>0</v>
      </c>
      <c r="J21">
        <v>2.5638000000000001</v>
      </c>
      <c r="K21">
        <v>2.5638000000000001</v>
      </c>
      <c r="L21">
        <v>5.6609999999999996</v>
      </c>
      <c r="M21">
        <v>5.6609999999999996</v>
      </c>
      <c r="O21">
        <v>18</v>
      </c>
      <c r="P21">
        <v>0</v>
      </c>
      <c r="Q21">
        <v>5.3701999999999996</v>
      </c>
      <c r="R21">
        <v>4.6010999999999997</v>
      </c>
      <c r="S21">
        <v>11.3637</v>
      </c>
      <c r="T21">
        <v>10.2315</v>
      </c>
      <c r="V21">
        <v>18</v>
      </c>
      <c r="W21">
        <v>0</v>
      </c>
      <c r="X21">
        <v>0</v>
      </c>
      <c r="Y21">
        <v>1.7767999999999999</v>
      </c>
      <c r="Z21">
        <v>2.9588999999999999</v>
      </c>
      <c r="AA21">
        <v>1.5126999999999999</v>
      </c>
      <c r="AC21">
        <v>18</v>
      </c>
      <c r="AE21">
        <v>0.80840000000000001</v>
      </c>
      <c r="AF21">
        <v>0.80840000000000001</v>
      </c>
      <c r="AG21">
        <v>0.57640000000000002</v>
      </c>
      <c r="AH21">
        <v>0.57640000000000002</v>
      </c>
    </row>
    <row r="22" spans="1:34">
      <c r="A22">
        <v>19</v>
      </c>
      <c r="B22">
        <v>0</v>
      </c>
      <c r="C22">
        <v>0.9</v>
      </c>
      <c r="D22">
        <v>0.9</v>
      </c>
      <c r="E22">
        <v>0.78239999999999998</v>
      </c>
      <c r="F22">
        <v>0.78239999999999998</v>
      </c>
      <c r="H22">
        <v>19</v>
      </c>
      <c r="I22">
        <v>0</v>
      </c>
      <c r="J22">
        <v>1.7751999999999999</v>
      </c>
      <c r="K22">
        <v>1.7751999999999999</v>
      </c>
      <c r="L22">
        <v>5.1277999999999997</v>
      </c>
      <c r="M22">
        <v>5.1277999999999997</v>
      </c>
      <c r="O22">
        <v>19</v>
      </c>
      <c r="P22">
        <v>0</v>
      </c>
      <c r="Q22">
        <v>3.8130999999999999</v>
      </c>
      <c r="R22">
        <v>3.2805</v>
      </c>
      <c r="S22">
        <v>10.6007</v>
      </c>
      <c r="T22">
        <v>9.5752000000000006</v>
      </c>
      <c r="V22">
        <v>19</v>
      </c>
      <c r="W22">
        <v>0</v>
      </c>
      <c r="X22">
        <v>0</v>
      </c>
      <c r="Y22">
        <v>0.92330000000000001</v>
      </c>
      <c r="Z22">
        <v>2.2029000000000001</v>
      </c>
      <c r="AA22">
        <v>1.6374</v>
      </c>
      <c r="AC22">
        <v>19</v>
      </c>
      <c r="AE22">
        <v>0.86729999999999996</v>
      </c>
      <c r="AF22">
        <v>0.86729999999999996</v>
      </c>
      <c r="AG22">
        <v>0.61609999999999998</v>
      </c>
      <c r="AH22">
        <v>0.61609999999999998</v>
      </c>
    </row>
    <row r="23" spans="1:34">
      <c r="A23">
        <v>20</v>
      </c>
      <c r="B23">
        <v>0</v>
      </c>
      <c r="C23">
        <v>0.9</v>
      </c>
      <c r="D23">
        <v>0.9</v>
      </c>
      <c r="E23">
        <v>0.80589999999999995</v>
      </c>
      <c r="F23">
        <v>0.80589999999999995</v>
      </c>
      <c r="H23">
        <v>20</v>
      </c>
      <c r="I23">
        <v>0</v>
      </c>
      <c r="J23">
        <v>0.92269999999999996</v>
      </c>
      <c r="K23">
        <v>0.92269999999999996</v>
      </c>
      <c r="L23">
        <v>4.5538999999999996</v>
      </c>
      <c r="M23">
        <v>4.5538999999999996</v>
      </c>
      <c r="O23">
        <v>20</v>
      </c>
      <c r="P23">
        <v>0</v>
      </c>
      <c r="Q23">
        <v>2.0299</v>
      </c>
      <c r="R23">
        <v>1.7531000000000001</v>
      </c>
      <c r="S23">
        <v>9.6816999999999993</v>
      </c>
      <c r="T23">
        <v>8.7708999999999993</v>
      </c>
      <c r="V23">
        <v>20</v>
      </c>
      <c r="W23">
        <v>0</v>
      </c>
      <c r="X23">
        <v>0</v>
      </c>
      <c r="Y23">
        <v>0</v>
      </c>
      <c r="Z23">
        <v>1.3859999999999999</v>
      </c>
      <c r="AA23">
        <v>1.7735000000000001</v>
      </c>
      <c r="AC23">
        <v>20</v>
      </c>
      <c r="AE23">
        <v>0.93100000000000005</v>
      </c>
      <c r="AF23">
        <v>0.93100000000000005</v>
      </c>
      <c r="AG23">
        <v>0.65900000000000003</v>
      </c>
      <c r="AH23">
        <v>0.65900000000000003</v>
      </c>
    </row>
    <row r="24" spans="1:34">
      <c r="A24">
        <v>21</v>
      </c>
      <c r="B24">
        <v>0</v>
      </c>
      <c r="C24">
        <v>0</v>
      </c>
      <c r="D24">
        <v>0</v>
      </c>
      <c r="E24">
        <v>0.82940000000000003</v>
      </c>
      <c r="F24">
        <v>0.82940000000000003</v>
      </c>
      <c r="H24">
        <v>21</v>
      </c>
      <c r="I24">
        <v>0</v>
      </c>
      <c r="J24">
        <v>0</v>
      </c>
      <c r="K24">
        <v>0</v>
      </c>
      <c r="L24">
        <v>3.9354</v>
      </c>
      <c r="M24">
        <v>3.9354</v>
      </c>
      <c r="O24">
        <v>21</v>
      </c>
      <c r="P24">
        <v>0</v>
      </c>
      <c r="Q24">
        <v>0</v>
      </c>
      <c r="R24">
        <v>0</v>
      </c>
      <c r="S24">
        <v>8.5928000000000004</v>
      </c>
      <c r="T24">
        <v>7.8056999999999999</v>
      </c>
      <c r="V24">
        <v>21</v>
      </c>
      <c r="W24">
        <v>0</v>
      </c>
      <c r="X24">
        <v>0</v>
      </c>
      <c r="Y24">
        <v>0</v>
      </c>
      <c r="Z24">
        <v>1.5021</v>
      </c>
      <c r="AA24">
        <v>0.92210000000000003</v>
      </c>
      <c r="AC24">
        <v>21</v>
      </c>
      <c r="AG24">
        <v>0.70520000000000005</v>
      </c>
      <c r="AH24">
        <v>0.70520000000000005</v>
      </c>
    </row>
    <row r="25" spans="1:34">
      <c r="A25">
        <v>22</v>
      </c>
      <c r="B25">
        <v>0</v>
      </c>
      <c r="C25">
        <v>0</v>
      </c>
      <c r="D25">
        <v>0</v>
      </c>
      <c r="E25">
        <v>0.85289999999999999</v>
      </c>
      <c r="F25">
        <v>0.85289999999999999</v>
      </c>
      <c r="H25">
        <v>22</v>
      </c>
      <c r="I25">
        <v>0</v>
      </c>
      <c r="J25">
        <v>0</v>
      </c>
      <c r="K25">
        <v>0</v>
      </c>
      <c r="L25">
        <v>3.2679</v>
      </c>
      <c r="M25">
        <v>3.2679</v>
      </c>
      <c r="O25">
        <v>22</v>
      </c>
      <c r="P25">
        <v>0</v>
      </c>
      <c r="Q25">
        <v>0</v>
      </c>
      <c r="R25">
        <v>0</v>
      </c>
      <c r="S25">
        <v>7.3188000000000004</v>
      </c>
      <c r="T25">
        <v>6.6651999999999996</v>
      </c>
      <c r="V25">
        <v>22</v>
      </c>
      <c r="W25">
        <v>0</v>
      </c>
      <c r="X25">
        <v>0</v>
      </c>
      <c r="Y25">
        <v>0</v>
      </c>
      <c r="Z25">
        <v>1.629</v>
      </c>
      <c r="AA25">
        <v>0</v>
      </c>
      <c r="AC25">
        <v>22</v>
      </c>
      <c r="AG25">
        <v>0.75509999999999999</v>
      </c>
      <c r="AH25">
        <v>0.75509999999999999</v>
      </c>
    </row>
    <row r="26" spans="1:34">
      <c r="A26">
        <v>23</v>
      </c>
      <c r="B26">
        <v>0</v>
      </c>
      <c r="C26">
        <v>0</v>
      </c>
      <c r="D26">
        <v>0</v>
      </c>
      <c r="E26">
        <v>0.87649999999999995</v>
      </c>
      <c r="F26">
        <v>0.87649999999999995</v>
      </c>
      <c r="H26">
        <v>23</v>
      </c>
      <c r="I26">
        <v>0</v>
      </c>
      <c r="J26">
        <v>0</v>
      </c>
      <c r="K26">
        <v>0</v>
      </c>
      <c r="L26">
        <v>2.5465</v>
      </c>
      <c r="M26">
        <v>2.5465</v>
      </c>
      <c r="O26">
        <v>23</v>
      </c>
      <c r="P26">
        <v>0</v>
      </c>
      <c r="Q26">
        <v>0</v>
      </c>
      <c r="R26">
        <v>0</v>
      </c>
      <c r="S26">
        <v>5.8426</v>
      </c>
      <c r="T26">
        <v>5.3333000000000004</v>
      </c>
      <c r="V26">
        <v>23</v>
      </c>
      <c r="W26">
        <v>0</v>
      </c>
      <c r="X26">
        <v>0</v>
      </c>
      <c r="Y26">
        <v>0</v>
      </c>
      <c r="Z26">
        <v>1.7679</v>
      </c>
      <c r="AA26">
        <v>0</v>
      </c>
      <c r="AC26">
        <v>23</v>
      </c>
      <c r="AG26">
        <v>0.80910000000000004</v>
      </c>
      <c r="AH26">
        <v>0.80910000000000004</v>
      </c>
    </row>
    <row r="27" spans="1:34">
      <c r="A27">
        <v>24</v>
      </c>
      <c r="B27">
        <v>0</v>
      </c>
      <c r="C27">
        <v>0</v>
      </c>
      <c r="D27">
        <v>0</v>
      </c>
      <c r="E27">
        <v>0.9</v>
      </c>
      <c r="F27">
        <v>0.9</v>
      </c>
      <c r="H27">
        <v>24</v>
      </c>
      <c r="I27">
        <v>0</v>
      </c>
      <c r="J27">
        <v>0</v>
      </c>
      <c r="K27">
        <v>0</v>
      </c>
      <c r="L27">
        <v>1.7656000000000001</v>
      </c>
      <c r="M27">
        <v>1.7656000000000001</v>
      </c>
      <c r="O27">
        <v>24</v>
      </c>
      <c r="P27">
        <v>0</v>
      </c>
      <c r="Q27">
        <v>0</v>
      </c>
      <c r="R27">
        <v>0</v>
      </c>
      <c r="S27">
        <v>4.1455000000000002</v>
      </c>
      <c r="T27">
        <v>3.7923</v>
      </c>
      <c r="V27">
        <v>24</v>
      </c>
      <c r="W27">
        <v>0</v>
      </c>
      <c r="X27">
        <v>0</v>
      </c>
      <c r="Y27">
        <v>0</v>
      </c>
      <c r="Z27">
        <v>0.92</v>
      </c>
      <c r="AA27">
        <v>0</v>
      </c>
      <c r="AC27">
        <v>24</v>
      </c>
      <c r="AG27">
        <v>0.86750000000000005</v>
      </c>
      <c r="AH27">
        <v>0.86750000000000005</v>
      </c>
    </row>
    <row r="28" spans="1:34">
      <c r="A28">
        <v>25</v>
      </c>
      <c r="B28">
        <v>0</v>
      </c>
      <c r="C28">
        <v>0</v>
      </c>
      <c r="D28">
        <v>0</v>
      </c>
      <c r="E28">
        <v>0.9</v>
      </c>
      <c r="F28">
        <v>0.9</v>
      </c>
      <c r="H28">
        <v>25</v>
      </c>
      <c r="I28">
        <v>0</v>
      </c>
      <c r="J28">
        <v>0</v>
      </c>
      <c r="K28">
        <v>0</v>
      </c>
      <c r="L28">
        <v>0.91910000000000003</v>
      </c>
      <c r="M28">
        <v>0.91910000000000003</v>
      </c>
      <c r="O28">
        <v>25</v>
      </c>
      <c r="P28">
        <v>0</v>
      </c>
      <c r="Q28">
        <v>0</v>
      </c>
      <c r="R28">
        <v>0</v>
      </c>
      <c r="S28">
        <v>2.2059000000000002</v>
      </c>
      <c r="T28">
        <v>2.0221</v>
      </c>
      <c r="V28">
        <v>25</v>
      </c>
      <c r="W28">
        <v>0</v>
      </c>
      <c r="X28">
        <v>0</v>
      </c>
      <c r="Y28">
        <v>0</v>
      </c>
      <c r="Z28">
        <v>0</v>
      </c>
      <c r="AA28">
        <v>0</v>
      </c>
      <c r="AC28">
        <v>25</v>
      </c>
      <c r="AG28">
        <v>0.93100000000000005</v>
      </c>
      <c r="AH28">
        <v>0.93100000000000005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13FF4-FD5C-4B7F-837C-B2C02076A4A4}">
  <sheetPr codeName="Sheet4"/>
  <dimension ref="A1:F139"/>
  <sheetViews>
    <sheetView workbookViewId="0">
      <selection activeCell="B1" sqref="B1"/>
    </sheetView>
  </sheetViews>
  <sheetFormatPr defaultRowHeight="14.5"/>
  <sheetData>
    <row r="1" spans="1:6">
      <c r="A1" t="s">
        <v>61</v>
      </c>
      <c r="B1">
        <v>7</v>
      </c>
      <c r="C1">
        <v>7</v>
      </c>
      <c r="D1">
        <v>10</v>
      </c>
      <c r="E1">
        <v>10</v>
      </c>
      <c r="F1">
        <v>12</v>
      </c>
    </row>
    <row r="2" spans="1:6">
      <c r="A2" t="s">
        <v>62</v>
      </c>
      <c r="B2">
        <v>15</v>
      </c>
      <c r="C2">
        <v>20</v>
      </c>
      <c r="D2">
        <v>20</v>
      </c>
      <c r="E2">
        <v>25</v>
      </c>
      <c r="F2">
        <v>25</v>
      </c>
    </row>
    <row r="3" spans="1:6">
      <c r="A3">
        <v>18</v>
      </c>
      <c r="B3" s="120">
        <v>6.3379000000000003</v>
      </c>
      <c r="C3" s="120">
        <v>6.6886000000000001</v>
      </c>
      <c r="D3" s="120">
        <v>10.1546</v>
      </c>
      <c r="E3" s="120">
        <v>11.162699999999999</v>
      </c>
      <c r="F3" s="120">
        <v>13.235300000000001</v>
      </c>
    </row>
    <row r="4" spans="1:6">
      <c r="A4">
        <v>19</v>
      </c>
      <c r="B4" s="120">
        <v>6.3358999999999996</v>
      </c>
      <c r="C4" s="120">
        <v>6.6845999999999997</v>
      </c>
      <c r="D4" s="120">
        <v>10.152200000000001</v>
      </c>
      <c r="E4" s="120">
        <v>11.159700000000001</v>
      </c>
      <c r="F4" s="120">
        <v>13.231999999999999</v>
      </c>
    </row>
    <row r="5" spans="1:6">
      <c r="A5">
        <v>20</v>
      </c>
      <c r="B5" s="120">
        <v>6.3342999999999998</v>
      </c>
      <c r="C5" s="120">
        <v>6.6810999999999998</v>
      </c>
      <c r="D5" s="120">
        <v>10.150600000000001</v>
      </c>
      <c r="E5" s="120">
        <v>11.157999999999999</v>
      </c>
      <c r="F5" s="120">
        <v>13.229799999999999</v>
      </c>
    </row>
    <row r="6" spans="1:6">
      <c r="A6">
        <v>21</v>
      </c>
      <c r="B6" s="120">
        <v>6.3329000000000004</v>
      </c>
      <c r="C6" s="120">
        <v>6.6775000000000002</v>
      </c>
      <c r="D6" s="120">
        <v>10.1494</v>
      </c>
      <c r="E6" s="120">
        <v>11.1569</v>
      </c>
      <c r="F6" s="120">
        <v>13.228300000000001</v>
      </c>
    </row>
    <row r="7" spans="1:6">
      <c r="A7">
        <v>22</v>
      </c>
      <c r="B7" s="120">
        <v>6.3314000000000004</v>
      </c>
      <c r="C7" s="120">
        <v>6.6737000000000002</v>
      </c>
      <c r="D7" s="120">
        <v>10.1485</v>
      </c>
      <c r="E7" s="120">
        <v>11.1561</v>
      </c>
      <c r="F7" s="120">
        <v>13.226900000000001</v>
      </c>
    </row>
    <row r="8" spans="1:6">
      <c r="A8">
        <v>23</v>
      </c>
      <c r="B8" s="120">
        <v>6.3296999999999999</v>
      </c>
      <c r="C8" s="120">
        <v>6.6692</v>
      </c>
      <c r="D8" s="120">
        <v>10.1473</v>
      </c>
      <c r="E8" s="120">
        <v>11.155200000000001</v>
      </c>
      <c r="F8" s="120">
        <v>13.225300000000001</v>
      </c>
    </row>
    <row r="9" spans="1:6">
      <c r="A9">
        <v>24</v>
      </c>
      <c r="B9" s="120">
        <v>6.3274999999999997</v>
      </c>
      <c r="C9" s="120">
        <v>6.6637000000000004</v>
      </c>
      <c r="D9" s="120">
        <v>10.1457</v>
      </c>
      <c r="E9" s="120">
        <v>11.153700000000001</v>
      </c>
      <c r="F9" s="120">
        <v>13.223000000000001</v>
      </c>
    </row>
    <row r="10" spans="1:6">
      <c r="A10">
        <v>25</v>
      </c>
      <c r="B10" s="120">
        <v>6.3246000000000002</v>
      </c>
      <c r="C10" s="120">
        <v>6.657</v>
      </c>
      <c r="D10" s="120">
        <v>10.1433</v>
      </c>
      <c r="E10" s="120">
        <v>11.151400000000001</v>
      </c>
      <c r="F10" s="120">
        <v>13.2196</v>
      </c>
    </row>
    <row r="11" spans="1:6">
      <c r="A11">
        <v>26</v>
      </c>
      <c r="B11" s="120">
        <v>6.3209</v>
      </c>
      <c r="C11" s="120">
        <v>6.6487999999999996</v>
      </c>
      <c r="D11" s="120">
        <v>10.1401</v>
      </c>
      <c r="E11" s="120">
        <v>11.148</v>
      </c>
      <c r="F11" s="120">
        <v>13.215</v>
      </c>
    </row>
    <row r="12" spans="1:6">
      <c r="A12">
        <v>27</v>
      </c>
      <c r="B12" s="120">
        <v>6.3162000000000003</v>
      </c>
      <c r="C12" s="120">
        <v>6.6387999999999998</v>
      </c>
      <c r="D12" s="120">
        <v>10.1357</v>
      </c>
      <c r="E12" s="120">
        <v>11.1432</v>
      </c>
      <c r="F12" s="120">
        <v>13.2088</v>
      </c>
    </row>
    <row r="13" spans="1:6">
      <c r="A13">
        <v>28</v>
      </c>
      <c r="B13" s="120">
        <v>6.3103999999999996</v>
      </c>
      <c r="C13" s="120">
        <v>6.6268000000000002</v>
      </c>
      <c r="D13" s="120">
        <v>10.130100000000001</v>
      </c>
      <c r="E13" s="120">
        <v>11.136900000000001</v>
      </c>
      <c r="F13" s="120">
        <v>13.200799999999999</v>
      </c>
    </row>
    <row r="14" spans="1:6">
      <c r="A14">
        <v>29</v>
      </c>
      <c r="B14" s="120">
        <v>6.3033000000000001</v>
      </c>
      <c r="C14" s="120">
        <v>6.6123000000000003</v>
      </c>
      <c r="D14" s="120">
        <v>10.122999999999999</v>
      </c>
      <c r="E14" s="120">
        <v>11.1287</v>
      </c>
      <c r="F14" s="120">
        <v>13.1906</v>
      </c>
    </row>
    <row r="15" spans="1:6">
      <c r="A15">
        <v>30</v>
      </c>
      <c r="B15" s="120">
        <v>6.2949000000000002</v>
      </c>
      <c r="C15" s="120">
        <v>6.5952000000000002</v>
      </c>
      <c r="D15" s="120">
        <v>10.1143</v>
      </c>
      <c r="E15" s="120">
        <v>11.118499999999999</v>
      </c>
      <c r="F15" s="120">
        <v>13.178100000000001</v>
      </c>
    </row>
    <row r="16" spans="1:6">
      <c r="A16">
        <v>31</v>
      </c>
      <c r="B16" s="120">
        <v>6.2850000000000001</v>
      </c>
      <c r="C16" s="120">
        <v>6.5750999999999999</v>
      </c>
      <c r="D16" s="120">
        <v>10.103899999999999</v>
      </c>
      <c r="E16" s="120">
        <v>11.1061</v>
      </c>
      <c r="F16" s="120">
        <v>13.1629</v>
      </c>
    </row>
    <row r="17" spans="1:6">
      <c r="A17">
        <v>32</v>
      </c>
      <c r="B17" s="120">
        <v>6.2732999999999999</v>
      </c>
      <c r="C17" s="120">
        <v>6.5517000000000003</v>
      </c>
      <c r="D17" s="120">
        <v>10.0915</v>
      </c>
      <c r="E17" s="120">
        <v>11.091100000000001</v>
      </c>
      <c r="F17" s="120">
        <v>13.1449</v>
      </c>
    </row>
    <row r="18" spans="1:6">
      <c r="A18">
        <v>33</v>
      </c>
      <c r="B18" s="120">
        <v>6.2598000000000003</v>
      </c>
      <c r="C18" s="120">
        <v>6.5247000000000002</v>
      </c>
      <c r="D18" s="120">
        <v>10.0771</v>
      </c>
      <c r="E18" s="120">
        <v>11.073499999999999</v>
      </c>
      <c r="F18" s="120">
        <v>13.1236</v>
      </c>
    </row>
    <row r="19" spans="1:6">
      <c r="A19">
        <v>34</v>
      </c>
      <c r="B19" s="120">
        <v>6.2441000000000004</v>
      </c>
      <c r="C19" s="120">
        <v>6.4938000000000002</v>
      </c>
      <c r="D19" s="120">
        <v>10.0604</v>
      </c>
      <c r="E19" s="120">
        <v>11.0528</v>
      </c>
      <c r="F19" s="120">
        <v>13.098599999999999</v>
      </c>
    </row>
    <row r="20" spans="1:6">
      <c r="A20">
        <v>35</v>
      </c>
      <c r="B20" s="120">
        <v>6.226</v>
      </c>
      <c r="C20" s="120">
        <v>6.4584999999999999</v>
      </c>
      <c r="D20" s="120">
        <v>10.0411</v>
      </c>
      <c r="E20" s="120">
        <v>11.028600000000001</v>
      </c>
      <c r="F20" s="120">
        <v>13.0695</v>
      </c>
    </row>
    <row r="21" spans="1:6">
      <c r="A21">
        <v>36</v>
      </c>
      <c r="B21" s="120">
        <v>6.2051999999999996</v>
      </c>
      <c r="C21" s="120">
        <v>6.4185999999999996</v>
      </c>
      <c r="D21" s="120">
        <v>10.019</v>
      </c>
      <c r="E21" s="120">
        <v>11.0007</v>
      </c>
      <c r="F21" s="120">
        <v>13.0359</v>
      </c>
    </row>
    <row r="22" spans="1:6">
      <c r="A22">
        <v>37</v>
      </c>
      <c r="B22" s="120">
        <v>6.1813000000000002</v>
      </c>
      <c r="C22" s="120">
        <v>6.3737000000000004</v>
      </c>
      <c r="D22" s="120">
        <v>9.9937000000000005</v>
      </c>
      <c r="E22" s="120">
        <v>10.968400000000001</v>
      </c>
      <c r="F22" s="120">
        <v>12.997299999999999</v>
      </c>
    </row>
    <row r="23" spans="1:6">
      <c r="A23">
        <v>38</v>
      </c>
      <c r="B23" s="120">
        <v>6.1540999999999997</v>
      </c>
      <c r="C23" s="120">
        <v>6.3235000000000001</v>
      </c>
      <c r="D23" s="120">
        <v>9.9649000000000001</v>
      </c>
      <c r="E23" s="120">
        <v>10.9313</v>
      </c>
      <c r="F23" s="120">
        <v>12.952999999999999</v>
      </c>
    </row>
    <row r="24" spans="1:6">
      <c r="A24">
        <v>39</v>
      </c>
      <c r="B24" s="120">
        <v>6.1231</v>
      </c>
      <c r="C24" s="120">
        <v>6.2675000000000001</v>
      </c>
      <c r="D24" s="120">
        <v>9.9319000000000006</v>
      </c>
      <c r="E24" s="120">
        <v>10.888299999999999</v>
      </c>
      <c r="F24" s="120">
        <v>12.902100000000001</v>
      </c>
    </row>
    <row r="25" spans="1:6">
      <c r="A25">
        <v>40</v>
      </c>
      <c r="B25" s="120">
        <v>6.0880000000000001</v>
      </c>
      <c r="C25" s="120">
        <v>6.2053000000000003</v>
      </c>
      <c r="D25" s="120">
        <v>9.8943999999999992</v>
      </c>
      <c r="E25" s="120">
        <v>10.8386</v>
      </c>
      <c r="F25" s="120">
        <v>12.8438</v>
      </c>
    </row>
    <row r="26" spans="1:6">
      <c r="A26">
        <v>41</v>
      </c>
      <c r="B26" s="120">
        <v>6.0484</v>
      </c>
      <c r="C26" s="120">
        <v>6.1361999999999997</v>
      </c>
      <c r="D26" s="120">
        <v>9.8513999999999999</v>
      </c>
      <c r="E26" s="120">
        <v>10.7813</v>
      </c>
      <c r="F26" s="120">
        <v>12.7768</v>
      </c>
    </row>
    <row r="27" spans="1:6">
      <c r="A27">
        <v>42</v>
      </c>
      <c r="B27" s="120">
        <v>6.0038999999999998</v>
      </c>
      <c r="C27" s="120">
        <v>6.0594000000000001</v>
      </c>
      <c r="D27" s="120">
        <v>9.8020999999999994</v>
      </c>
      <c r="E27" s="120">
        <v>10.7149</v>
      </c>
      <c r="F27" s="120">
        <v>12.6996</v>
      </c>
    </row>
    <row r="28" spans="1:6">
      <c r="A28">
        <v>43</v>
      </c>
      <c r="B28" s="120">
        <v>5.9539999999999997</v>
      </c>
      <c r="C28" s="120">
        <v>5.9740000000000002</v>
      </c>
      <c r="D28" s="120">
        <v>9.7455999999999996</v>
      </c>
      <c r="E28" s="120">
        <v>10.6381</v>
      </c>
      <c r="F28" s="120">
        <v>12.610300000000001</v>
      </c>
    </row>
    <row r="29" spans="1:6">
      <c r="A29">
        <v>44</v>
      </c>
      <c r="B29" s="120">
        <v>5.8981000000000003</v>
      </c>
      <c r="C29" s="120">
        <v>5.8789999999999996</v>
      </c>
      <c r="D29" s="120">
        <v>9.6808999999999994</v>
      </c>
      <c r="E29" s="120">
        <v>10.548999999999999</v>
      </c>
      <c r="F29" s="120">
        <v>12.507199999999999</v>
      </c>
    </row>
    <row r="30" spans="1:6">
      <c r="A30">
        <v>45</v>
      </c>
      <c r="B30" s="120">
        <v>5.8358999999999996</v>
      </c>
      <c r="C30" s="120">
        <v>5.7732000000000001</v>
      </c>
      <c r="D30" s="120">
        <v>9.6067999999999998</v>
      </c>
      <c r="E30" s="120">
        <v>10.4458</v>
      </c>
      <c r="F30" s="120">
        <v>12.388299999999999</v>
      </c>
    </row>
    <row r="31" spans="1:6">
      <c r="A31">
        <v>46</v>
      </c>
      <c r="B31" s="120">
        <v>5.7667999999999999</v>
      </c>
      <c r="C31" s="120">
        <v>5.6553000000000004</v>
      </c>
      <c r="D31" s="120">
        <v>9.5223999999999993</v>
      </c>
      <c r="E31" s="120">
        <v>10.326499999999999</v>
      </c>
      <c r="F31" s="120">
        <v>12.2516</v>
      </c>
    </row>
    <row r="32" spans="1:6">
      <c r="A32">
        <v>47</v>
      </c>
      <c r="B32" s="120">
        <v>5.6902999999999997</v>
      </c>
      <c r="C32" s="120">
        <v>5.5239000000000003</v>
      </c>
      <c r="D32" s="120">
        <v>9.4267000000000003</v>
      </c>
      <c r="E32" s="120">
        <v>10.1892</v>
      </c>
      <c r="F32" s="120">
        <v>12.094900000000001</v>
      </c>
    </row>
    <row r="33" spans="1:6">
      <c r="A33">
        <v>48</v>
      </c>
      <c r="B33" s="120">
        <v>5.6062000000000003</v>
      </c>
      <c r="C33" s="120">
        <v>5.3776999999999999</v>
      </c>
      <c r="D33" s="120">
        <v>9.3190000000000008</v>
      </c>
      <c r="E33" s="120">
        <v>10.0321</v>
      </c>
      <c r="F33" s="120">
        <v>11.915900000000001</v>
      </c>
    </row>
    <row r="34" spans="1:6">
      <c r="A34">
        <v>49</v>
      </c>
      <c r="B34" s="120">
        <v>5.5141</v>
      </c>
      <c r="C34" s="120">
        <v>5.2153999999999998</v>
      </c>
      <c r="D34" s="120">
        <v>9.1986000000000008</v>
      </c>
      <c r="E34" s="120">
        <v>9.8534000000000006</v>
      </c>
      <c r="F34" s="120">
        <v>11.712899999999999</v>
      </c>
    </row>
    <row r="35" spans="1:6">
      <c r="A35">
        <v>50</v>
      </c>
      <c r="B35" s="120">
        <v>5.4138000000000002</v>
      </c>
      <c r="C35" s="120">
        <v>5.0354000000000001</v>
      </c>
      <c r="D35" s="120">
        <v>9.0652000000000008</v>
      </c>
      <c r="E35" s="120">
        <v>9.6514000000000006</v>
      </c>
      <c r="F35" s="120">
        <v>11.483599999999999</v>
      </c>
    </row>
    <row r="36" spans="1:6">
      <c r="A36">
        <v>51</v>
      </c>
      <c r="B36" s="120"/>
      <c r="C36" s="120"/>
      <c r="D36" s="120">
        <v>8.9184000000000001</v>
      </c>
      <c r="E36" s="120">
        <v>9.4242000000000008</v>
      </c>
      <c r="F36" s="120">
        <v>11.2258</v>
      </c>
    </row>
    <row r="37" spans="1:6">
      <c r="A37">
        <v>52</v>
      </c>
      <c r="B37" s="120"/>
      <c r="C37" s="120"/>
      <c r="D37" s="120">
        <v>8.7577999999999996</v>
      </c>
      <c r="E37" s="120">
        <v>9.1696000000000009</v>
      </c>
      <c r="F37" s="120">
        <v>10.9345</v>
      </c>
    </row>
    <row r="38" spans="1:6">
      <c r="A38">
        <v>53</v>
      </c>
      <c r="B38" s="120"/>
      <c r="C38" s="120"/>
      <c r="D38" s="120">
        <v>8.5828000000000007</v>
      </c>
      <c r="E38" s="120">
        <v>8.8821999999999992</v>
      </c>
      <c r="F38" s="120">
        <v>10.6073</v>
      </c>
    </row>
    <row r="39" spans="1:6">
      <c r="A39">
        <v>54</v>
      </c>
      <c r="B39" s="120"/>
      <c r="C39" s="120"/>
      <c r="D39" s="120">
        <v>8.3922000000000008</v>
      </c>
      <c r="E39" s="120">
        <v>8.5595999999999997</v>
      </c>
      <c r="F39" s="120">
        <v>10.2392</v>
      </c>
    </row>
    <row r="40" spans="1:6">
      <c r="A40">
        <v>55</v>
      </c>
      <c r="B40" s="120"/>
      <c r="C40" s="120"/>
      <c r="D40" s="120">
        <v>8.1838999999999995</v>
      </c>
      <c r="E40" s="120">
        <v>8.1954999999999991</v>
      </c>
      <c r="F40" s="120">
        <v>9.8223000000000003</v>
      </c>
    </row>
    <row r="41" spans="1:6">
      <c r="A41">
        <v>56</v>
      </c>
      <c r="B41" s="120"/>
      <c r="C41" s="120"/>
      <c r="D41" s="120"/>
      <c r="E41" s="120"/>
      <c r="F41" s="120">
        <v>9.3435000000000006</v>
      </c>
    </row>
    <row r="42" spans="1:6">
      <c r="A42">
        <v>57</v>
      </c>
      <c r="B42" s="120"/>
      <c r="C42" s="120"/>
      <c r="D42" s="120"/>
      <c r="E42" s="120"/>
      <c r="F42" s="120">
        <v>8.7908000000000008</v>
      </c>
    </row>
    <row r="43" spans="1:6">
      <c r="A43">
        <v>58</v>
      </c>
      <c r="B43" s="120"/>
      <c r="C43" s="120"/>
      <c r="D43" s="120"/>
      <c r="E43" s="120"/>
      <c r="F43" s="120">
        <v>8.1456</v>
      </c>
    </row>
    <row r="44" spans="1:6">
      <c r="A44">
        <v>59</v>
      </c>
      <c r="B44" s="120"/>
      <c r="C44" s="120"/>
      <c r="D44" s="120"/>
      <c r="E44" s="120"/>
      <c r="F44" s="120">
        <v>7.3766999999999996</v>
      </c>
    </row>
    <row r="45" spans="1:6">
      <c r="A45">
        <v>60</v>
      </c>
      <c r="B45" s="120"/>
      <c r="C45" s="120"/>
      <c r="D45" s="120"/>
      <c r="E45" s="120"/>
      <c r="F45" s="120">
        <v>6.4268000000000001</v>
      </c>
    </row>
    <row r="47" spans="1:6">
      <c r="B47" t="s">
        <v>104</v>
      </c>
    </row>
    <row r="48" spans="1:6">
      <c r="A48" t="s">
        <v>61</v>
      </c>
      <c r="B48">
        <v>7</v>
      </c>
      <c r="C48">
        <v>7</v>
      </c>
      <c r="D48">
        <v>10</v>
      </c>
      <c r="E48">
        <v>10</v>
      </c>
      <c r="F48">
        <v>12</v>
      </c>
    </row>
    <row r="49" spans="1:6">
      <c r="A49" t="s">
        <v>62</v>
      </c>
      <c r="B49">
        <v>15</v>
      </c>
      <c r="C49">
        <v>20</v>
      </c>
      <c r="D49">
        <v>20</v>
      </c>
      <c r="E49">
        <v>25</v>
      </c>
      <c r="F49">
        <v>25</v>
      </c>
    </row>
    <row r="50" spans="1:6">
      <c r="A50">
        <v>18</v>
      </c>
      <c r="B50" s="120">
        <v>7.5576999999999996</v>
      </c>
      <c r="C50" s="120">
        <v>6.4932999999999996</v>
      </c>
      <c r="D50" s="120">
        <v>14.4345</v>
      </c>
      <c r="E50" s="120">
        <v>15.1113</v>
      </c>
      <c r="F50" s="120">
        <v>20.912800000000001</v>
      </c>
    </row>
    <row r="51" spans="1:6">
      <c r="A51">
        <v>19</v>
      </c>
      <c r="B51" s="120">
        <v>7.5559000000000003</v>
      </c>
      <c r="C51" s="120">
        <v>6.49</v>
      </c>
      <c r="D51" s="120">
        <v>14.433199999999999</v>
      </c>
      <c r="E51" s="120">
        <v>15.1111</v>
      </c>
      <c r="F51" s="120">
        <v>20.912800000000001</v>
      </c>
    </row>
    <row r="52" spans="1:6">
      <c r="A52">
        <v>20</v>
      </c>
      <c r="B52" s="120">
        <v>7.5547000000000004</v>
      </c>
      <c r="C52" s="120">
        <v>6.4871999999999996</v>
      </c>
      <c r="D52" s="120">
        <v>14.433</v>
      </c>
      <c r="E52" s="120">
        <v>15.112500000000001</v>
      </c>
      <c r="F52" s="120">
        <v>20.9147</v>
      </c>
    </row>
    <row r="53" spans="1:6">
      <c r="A53">
        <v>21</v>
      </c>
      <c r="B53" s="120">
        <v>7.5537000000000001</v>
      </c>
      <c r="C53" s="120">
        <v>6.4846000000000004</v>
      </c>
      <c r="D53" s="120">
        <v>14.4336</v>
      </c>
      <c r="E53" s="120">
        <v>15.1152</v>
      </c>
      <c r="F53" s="120">
        <v>20.917899999999999</v>
      </c>
    </row>
    <row r="54" spans="1:6">
      <c r="A54">
        <v>22</v>
      </c>
      <c r="B54" s="120">
        <v>7.5529000000000002</v>
      </c>
      <c r="C54" s="120">
        <v>6.4820000000000002</v>
      </c>
      <c r="D54" s="120">
        <v>14.4346</v>
      </c>
      <c r="E54" s="120">
        <v>15.1188</v>
      </c>
      <c r="F54" s="120">
        <v>20.9221</v>
      </c>
    </row>
    <row r="55" spans="1:6">
      <c r="A55">
        <v>23</v>
      </c>
      <c r="B55" s="120">
        <v>7.5518999999999998</v>
      </c>
      <c r="C55" s="120">
        <v>6.4790000000000001</v>
      </c>
      <c r="D55" s="120">
        <v>14.4359</v>
      </c>
      <c r="E55" s="120">
        <v>15.122999999999999</v>
      </c>
      <c r="F55" s="120">
        <v>20.927</v>
      </c>
    </row>
    <row r="56" spans="1:6">
      <c r="A56">
        <v>24</v>
      </c>
      <c r="B56" s="120">
        <v>7.5507</v>
      </c>
      <c r="C56" s="120">
        <v>6.4753999999999996</v>
      </c>
      <c r="D56" s="120">
        <v>14.437200000000001</v>
      </c>
      <c r="E56" s="120">
        <v>15.1274</v>
      </c>
      <c r="F56" s="120">
        <v>20.932300000000001</v>
      </c>
    </row>
    <row r="57" spans="1:6">
      <c r="A57">
        <v>25</v>
      </c>
      <c r="B57" s="120">
        <v>7.5488999999999997</v>
      </c>
      <c r="C57" s="120">
        <v>6.4707999999999997</v>
      </c>
      <c r="D57" s="120">
        <v>14.4382</v>
      </c>
      <c r="E57" s="120">
        <v>15.132</v>
      </c>
      <c r="F57" s="120">
        <v>20.9377</v>
      </c>
    </row>
    <row r="58" spans="1:6">
      <c r="A58">
        <v>26</v>
      </c>
      <c r="B58" s="120">
        <v>7.5464000000000002</v>
      </c>
      <c r="C58" s="120">
        <v>6.4649999999999999</v>
      </c>
      <c r="D58" s="120">
        <v>14.4389</v>
      </c>
      <c r="E58" s="120">
        <v>15.1366</v>
      </c>
      <c r="F58" s="120">
        <v>20.943200000000001</v>
      </c>
    </row>
    <row r="59" spans="1:6">
      <c r="A59">
        <v>27</v>
      </c>
      <c r="B59" s="120">
        <v>7.5433000000000003</v>
      </c>
      <c r="C59" s="120">
        <v>6.4579000000000004</v>
      </c>
      <c r="D59" s="120">
        <v>14.439</v>
      </c>
      <c r="E59" s="120">
        <v>15.1412</v>
      </c>
      <c r="F59" s="120">
        <v>20.948699999999999</v>
      </c>
    </row>
    <row r="60" spans="1:6">
      <c r="A60">
        <v>28</v>
      </c>
      <c r="B60" s="120">
        <v>7.5392000000000001</v>
      </c>
      <c r="C60" s="120">
        <v>6.4490999999999996</v>
      </c>
      <c r="D60" s="120">
        <v>14.438599999999999</v>
      </c>
      <c r="E60" s="120">
        <v>15.1456</v>
      </c>
      <c r="F60" s="120">
        <v>20.9541</v>
      </c>
    </row>
    <row r="61" spans="1:6">
      <c r="A61">
        <v>29</v>
      </c>
      <c r="B61" s="120">
        <v>7.5342000000000002</v>
      </c>
      <c r="C61" s="120">
        <v>6.4385000000000003</v>
      </c>
      <c r="D61" s="120">
        <v>14.4375</v>
      </c>
      <c r="E61" s="120">
        <v>15.149699999999999</v>
      </c>
      <c r="F61" s="120">
        <v>20.959399999999999</v>
      </c>
    </row>
    <row r="62" spans="1:6">
      <c r="A62">
        <v>30</v>
      </c>
      <c r="B62" s="120">
        <v>7.5281000000000002</v>
      </c>
      <c r="C62" s="120">
        <v>6.4257999999999997</v>
      </c>
      <c r="D62" s="120">
        <v>14.4358</v>
      </c>
      <c r="E62" s="120">
        <v>15.153700000000001</v>
      </c>
      <c r="F62" s="120">
        <v>20.964600000000001</v>
      </c>
    </row>
    <row r="63" spans="1:6">
      <c r="A63">
        <v>31</v>
      </c>
      <c r="B63" s="120">
        <v>7.5208000000000004</v>
      </c>
      <c r="C63" s="120">
        <v>6.4107000000000003</v>
      </c>
      <c r="D63" s="120">
        <v>14.433299999999999</v>
      </c>
      <c r="E63" s="120">
        <v>15.157500000000001</v>
      </c>
      <c r="F63" s="120">
        <v>20.9697</v>
      </c>
    </row>
    <row r="64" spans="1:6">
      <c r="A64">
        <v>32</v>
      </c>
      <c r="B64" s="120">
        <v>7.5121000000000002</v>
      </c>
      <c r="C64" s="120">
        <v>6.3930999999999996</v>
      </c>
      <c r="D64" s="120">
        <v>14.430199999999999</v>
      </c>
      <c r="E64" s="120">
        <v>15.1608</v>
      </c>
      <c r="F64" s="120">
        <v>20.974599999999999</v>
      </c>
    </row>
    <row r="65" spans="1:6">
      <c r="A65">
        <v>33</v>
      </c>
      <c r="B65" s="120">
        <v>7.5021000000000004</v>
      </c>
      <c r="C65" s="120">
        <v>6.3727999999999998</v>
      </c>
      <c r="D65" s="120">
        <v>14.426399999999999</v>
      </c>
      <c r="E65" s="120">
        <v>15.1639</v>
      </c>
      <c r="F65" s="120">
        <v>20.979299999999999</v>
      </c>
    </row>
    <row r="66" spans="1:6">
      <c r="A66">
        <v>34</v>
      </c>
      <c r="B66" s="120">
        <v>7.4904000000000002</v>
      </c>
      <c r="C66" s="120">
        <v>6.3494999999999999</v>
      </c>
      <c r="D66" s="120">
        <v>14.421799999999999</v>
      </c>
      <c r="E66" s="120">
        <v>15.166499999999999</v>
      </c>
      <c r="F66" s="120">
        <v>20.983699999999999</v>
      </c>
    </row>
    <row r="67" spans="1:6">
      <c r="A67">
        <v>35</v>
      </c>
      <c r="B67" s="120">
        <v>7.4768999999999997</v>
      </c>
      <c r="C67" s="120">
        <v>6.3231000000000002</v>
      </c>
      <c r="D67" s="120">
        <v>14.416499999999999</v>
      </c>
      <c r="E67" s="120">
        <v>15.1686</v>
      </c>
      <c r="F67" s="120">
        <v>20.9877</v>
      </c>
    </row>
    <row r="68" spans="1:6">
      <c r="A68">
        <v>36</v>
      </c>
      <c r="B68" s="120">
        <v>7.4614000000000003</v>
      </c>
      <c r="C68" s="120">
        <v>6.2931999999999997</v>
      </c>
      <c r="D68" s="120">
        <v>14.4101</v>
      </c>
      <c r="E68" s="120">
        <v>15.1699</v>
      </c>
      <c r="F68" s="120">
        <v>20.9909</v>
      </c>
    </row>
    <row r="69" spans="1:6">
      <c r="A69">
        <v>37</v>
      </c>
      <c r="B69" s="120">
        <v>7.4436</v>
      </c>
      <c r="C69" s="120">
        <v>6.2595999999999998</v>
      </c>
      <c r="D69" s="120">
        <v>14.402699999999999</v>
      </c>
      <c r="E69" s="120">
        <v>15.170199999999999</v>
      </c>
      <c r="F69" s="120">
        <v>20.992999999999999</v>
      </c>
    </row>
    <row r="70" spans="1:6">
      <c r="A70">
        <v>38</v>
      </c>
      <c r="B70" s="120">
        <v>7.4234</v>
      </c>
      <c r="C70" s="120">
        <v>6.2221000000000002</v>
      </c>
      <c r="D70" s="120">
        <v>14.3939</v>
      </c>
      <c r="E70" s="120">
        <v>15.1691</v>
      </c>
      <c r="F70" s="120">
        <v>20.993500000000001</v>
      </c>
    </row>
    <row r="71" spans="1:6">
      <c r="A71">
        <v>39</v>
      </c>
      <c r="B71" s="120">
        <v>7.4002999999999997</v>
      </c>
      <c r="C71" s="120">
        <v>6.1803999999999997</v>
      </c>
      <c r="D71" s="120">
        <v>14.3832</v>
      </c>
      <c r="E71" s="120">
        <v>15.166</v>
      </c>
      <c r="F71" s="120">
        <v>20.991800000000001</v>
      </c>
    </row>
    <row r="72" spans="1:6">
      <c r="A72">
        <v>40</v>
      </c>
      <c r="B72" s="120">
        <v>7.3742000000000001</v>
      </c>
      <c r="C72" s="120">
        <v>6.1338999999999997</v>
      </c>
      <c r="D72" s="120">
        <v>14.370200000000001</v>
      </c>
      <c r="E72" s="120">
        <v>15.160299999999999</v>
      </c>
      <c r="F72" s="120">
        <v>20.987300000000001</v>
      </c>
    </row>
    <row r="73" spans="1:6">
      <c r="A73">
        <v>41</v>
      </c>
      <c r="B73" s="120">
        <v>7.3445</v>
      </c>
      <c r="C73" s="120">
        <v>6.0820999999999996</v>
      </c>
      <c r="D73" s="120">
        <v>14.354200000000001</v>
      </c>
      <c r="E73" s="120">
        <v>15.151199999999999</v>
      </c>
      <c r="F73" s="120">
        <v>20.978899999999999</v>
      </c>
    </row>
    <row r="74" spans="1:6">
      <c r="A74">
        <v>42</v>
      </c>
      <c r="B74" s="120">
        <v>7.3108000000000004</v>
      </c>
      <c r="C74" s="120">
        <v>6.0242000000000004</v>
      </c>
      <c r="D74" s="120">
        <v>14.3344</v>
      </c>
      <c r="E74" s="120">
        <v>15.137600000000001</v>
      </c>
      <c r="F74" s="120">
        <v>20.965800000000002</v>
      </c>
    </row>
    <row r="75" spans="1:6">
      <c r="A75">
        <v>43</v>
      </c>
      <c r="B75" s="120">
        <v>7.2728000000000002</v>
      </c>
      <c r="C75" s="120">
        <v>5.9593999999999996</v>
      </c>
      <c r="D75" s="120">
        <v>14.31</v>
      </c>
      <c r="E75" s="120">
        <v>15.118600000000001</v>
      </c>
      <c r="F75" s="120">
        <v>20.9467</v>
      </c>
    </row>
    <row r="76" spans="1:6">
      <c r="A76">
        <v>44</v>
      </c>
      <c r="B76" s="120">
        <v>7.2297000000000002</v>
      </c>
      <c r="C76" s="120">
        <v>5.8864999999999998</v>
      </c>
      <c r="D76" s="120">
        <v>14.28</v>
      </c>
      <c r="E76" s="120">
        <v>15.0932</v>
      </c>
      <c r="F76" s="120">
        <v>20.9207</v>
      </c>
    </row>
    <row r="77" spans="1:6">
      <c r="A77">
        <v>45</v>
      </c>
      <c r="B77" s="120">
        <v>7.1810999999999998</v>
      </c>
      <c r="C77" s="120">
        <v>5.8044000000000002</v>
      </c>
      <c r="D77" s="120">
        <v>14.2437</v>
      </c>
      <c r="E77" s="120">
        <v>15.0603</v>
      </c>
      <c r="F77" s="120">
        <v>20.886800000000001</v>
      </c>
    </row>
    <row r="78" spans="1:6">
      <c r="A78">
        <v>46</v>
      </c>
      <c r="B78" s="120">
        <v>7.1264000000000003</v>
      </c>
      <c r="C78" s="120">
        <v>5.7118000000000002</v>
      </c>
      <c r="D78" s="120">
        <v>14.200200000000001</v>
      </c>
      <c r="E78" s="120">
        <v>15.0191</v>
      </c>
      <c r="F78" s="120">
        <v>20.8443</v>
      </c>
    </row>
    <row r="79" spans="1:6">
      <c r="A79">
        <v>47</v>
      </c>
      <c r="B79" s="120">
        <v>7.0651000000000002</v>
      </c>
      <c r="C79" s="120">
        <v>5.6075999999999997</v>
      </c>
      <c r="D79" s="120">
        <v>14.1492</v>
      </c>
      <c r="E79" s="120">
        <v>14.9688</v>
      </c>
      <c r="F79" s="120">
        <v>20.792400000000001</v>
      </c>
    </row>
    <row r="80" spans="1:6">
      <c r="A80">
        <v>48</v>
      </c>
      <c r="B80" s="120">
        <v>6.9969000000000001</v>
      </c>
      <c r="C80" s="120">
        <v>5.4905999999999997</v>
      </c>
      <c r="D80" s="120">
        <v>14.090400000000001</v>
      </c>
      <c r="E80" s="120">
        <v>14.909599999999999</v>
      </c>
      <c r="F80" s="120">
        <v>20.731200000000001</v>
      </c>
    </row>
    <row r="81" spans="1:6">
      <c r="A81">
        <v>49</v>
      </c>
      <c r="B81" s="120">
        <v>6.9215999999999998</v>
      </c>
      <c r="C81" s="120">
        <v>5.3597000000000001</v>
      </c>
      <c r="D81" s="120">
        <v>14.0242</v>
      </c>
      <c r="E81" s="120">
        <v>14.841900000000001</v>
      </c>
      <c r="F81" s="120">
        <v>20.6614</v>
      </c>
    </row>
    <row r="82" spans="1:6">
      <c r="A82">
        <v>50</v>
      </c>
      <c r="B82" s="120">
        <v>6.8391000000000002</v>
      </c>
      <c r="C82" s="120">
        <v>5.2138999999999998</v>
      </c>
      <c r="D82" s="120">
        <v>13.950799999999999</v>
      </c>
      <c r="E82" s="120">
        <v>14.766400000000001</v>
      </c>
      <c r="F82" s="120">
        <v>20.5837</v>
      </c>
    </row>
    <row r="83" spans="1:6">
      <c r="A83">
        <v>51</v>
      </c>
      <c r="B83" s="120"/>
      <c r="C83" s="120"/>
      <c r="D83" s="120">
        <v>13.870900000000001</v>
      </c>
      <c r="E83" s="120">
        <v>14.6843</v>
      </c>
      <c r="F83" s="120">
        <v>20.499500000000001</v>
      </c>
    </row>
    <row r="84" spans="1:6">
      <c r="A84">
        <v>52</v>
      </c>
      <c r="B84" s="120"/>
      <c r="C84" s="120"/>
      <c r="D84" s="120">
        <v>13.7852</v>
      </c>
      <c r="E84" s="120">
        <v>14.5969</v>
      </c>
      <c r="F84" s="120">
        <v>20.410299999999999</v>
      </c>
    </row>
    <row r="85" spans="1:6">
      <c r="A85">
        <v>53</v>
      </c>
      <c r="B85" s="120"/>
      <c r="C85" s="120"/>
      <c r="D85" s="120">
        <v>13.6951</v>
      </c>
      <c r="E85" s="120">
        <v>14.505599999999999</v>
      </c>
      <c r="F85" s="120">
        <v>20.317399999999999</v>
      </c>
    </row>
    <row r="86" spans="1:6">
      <c r="A86">
        <v>54</v>
      </c>
      <c r="B86" s="120"/>
      <c r="C86" s="120"/>
      <c r="D86" s="120">
        <v>13.601100000000001</v>
      </c>
      <c r="E86" s="120">
        <v>14.411300000000001</v>
      </c>
      <c r="F86" s="120">
        <v>20.221699999999998</v>
      </c>
    </row>
    <row r="87" spans="1:6">
      <c r="A87">
        <v>55</v>
      </c>
      <c r="B87" s="120"/>
      <c r="C87" s="120"/>
      <c r="D87" s="120">
        <v>13.5037</v>
      </c>
      <c r="E87" s="120">
        <v>14.314299999999999</v>
      </c>
      <c r="F87" s="120">
        <v>20.1235</v>
      </c>
    </row>
    <row r="88" spans="1:6">
      <c r="A88">
        <v>56</v>
      </c>
      <c r="B88" s="120"/>
      <c r="C88" s="120"/>
      <c r="D88" s="120"/>
      <c r="E88" s="120"/>
      <c r="F88" s="120">
        <v>20.022300000000001</v>
      </c>
    </row>
    <row r="89" spans="1:6">
      <c r="A89">
        <v>57</v>
      </c>
      <c r="B89" s="120"/>
      <c r="C89" s="120"/>
      <c r="D89" s="120"/>
      <c r="E89" s="120"/>
      <c r="F89" s="120">
        <v>19.9161</v>
      </c>
    </row>
    <row r="90" spans="1:6">
      <c r="A90">
        <v>58</v>
      </c>
      <c r="B90" s="120"/>
      <c r="C90" s="120"/>
      <c r="D90" s="120"/>
      <c r="E90" s="120"/>
      <c r="F90" s="120">
        <v>19.802099999999999</v>
      </c>
    </row>
    <row r="91" spans="1:6">
      <c r="A91">
        <v>59</v>
      </c>
      <c r="B91" s="120"/>
      <c r="C91" s="120"/>
      <c r="D91" s="120"/>
      <c r="E91" s="120"/>
      <c r="F91" s="120">
        <v>19.675599999999999</v>
      </c>
    </row>
    <row r="92" spans="1:6">
      <c r="A92">
        <v>60</v>
      </c>
      <c r="B92" s="120"/>
      <c r="C92" s="120"/>
      <c r="D92" s="120"/>
      <c r="E92" s="120"/>
      <c r="F92" s="120">
        <v>19.5288</v>
      </c>
    </row>
    <row r="94" spans="1:6">
      <c r="B94" t="s">
        <v>105</v>
      </c>
    </row>
    <row r="95" spans="1:6">
      <c r="A95" t="s">
        <v>61</v>
      </c>
      <c r="B95">
        <v>7</v>
      </c>
      <c r="C95">
        <v>7</v>
      </c>
      <c r="D95">
        <v>10</v>
      </c>
      <c r="E95">
        <v>10</v>
      </c>
      <c r="F95">
        <v>12</v>
      </c>
    </row>
    <row r="96" spans="1:6">
      <c r="A96" t="s">
        <v>62</v>
      </c>
      <c r="B96">
        <v>15</v>
      </c>
      <c r="C96">
        <v>20</v>
      </c>
      <c r="D96">
        <v>20</v>
      </c>
      <c r="E96">
        <v>25</v>
      </c>
      <c r="F96">
        <v>25</v>
      </c>
    </row>
    <row r="97" spans="1:6">
      <c r="A97">
        <v>18</v>
      </c>
      <c r="B97" s="120">
        <v>5.0589000000000004</v>
      </c>
      <c r="C97" s="120">
        <v>3.8186</v>
      </c>
      <c r="D97" s="120">
        <v>10.509399999999999</v>
      </c>
      <c r="E97" s="120">
        <v>11.323399999999999</v>
      </c>
      <c r="F97" s="120">
        <v>18.241599999999998</v>
      </c>
    </row>
    <row r="98" spans="1:6">
      <c r="A98">
        <v>19</v>
      </c>
      <c r="B98" s="120">
        <v>5.0564999999999998</v>
      </c>
      <c r="C98" s="120">
        <v>3.8130000000000002</v>
      </c>
      <c r="D98" s="120">
        <v>10.507300000000001</v>
      </c>
      <c r="E98" s="120">
        <v>11.321199999999999</v>
      </c>
      <c r="F98" s="120">
        <v>18.240500000000001</v>
      </c>
    </row>
    <row r="99" spans="1:6">
      <c r="A99">
        <v>20</v>
      </c>
      <c r="B99" s="120">
        <v>5.0545999999999998</v>
      </c>
      <c r="C99" s="120">
        <v>3.8073000000000001</v>
      </c>
      <c r="D99" s="120">
        <v>10.5062</v>
      </c>
      <c r="E99" s="120">
        <v>11.3202</v>
      </c>
      <c r="F99" s="120">
        <v>18.241</v>
      </c>
    </row>
    <row r="100" spans="1:6">
      <c r="A100">
        <v>21</v>
      </c>
      <c r="B100" s="120">
        <v>5.0526999999999997</v>
      </c>
      <c r="C100" s="120">
        <v>3.8014000000000001</v>
      </c>
      <c r="D100" s="120">
        <v>10.505599999999999</v>
      </c>
      <c r="E100" s="120">
        <v>11.3201</v>
      </c>
      <c r="F100" s="120">
        <v>18.242599999999999</v>
      </c>
    </row>
    <row r="101" spans="1:6">
      <c r="A101">
        <v>22</v>
      </c>
      <c r="B101" s="120">
        <v>5.0506000000000002</v>
      </c>
      <c r="C101" s="120">
        <v>3.7948</v>
      </c>
      <c r="D101" s="120">
        <v>10.5052</v>
      </c>
      <c r="E101" s="120">
        <v>11.320499999999999</v>
      </c>
      <c r="F101" s="120">
        <v>18.245000000000001</v>
      </c>
    </row>
    <row r="102" spans="1:6">
      <c r="A102">
        <v>23</v>
      </c>
      <c r="B102" s="120">
        <v>5.0481999999999996</v>
      </c>
      <c r="C102" s="120">
        <v>3.7871999999999999</v>
      </c>
      <c r="D102" s="120">
        <v>10.504899999999999</v>
      </c>
      <c r="E102" s="120">
        <v>11.3209</v>
      </c>
      <c r="F102" s="120">
        <v>18.247699999999998</v>
      </c>
    </row>
    <row r="103" spans="1:6">
      <c r="A103">
        <v>24</v>
      </c>
      <c r="B103" s="120">
        <v>5.0450999999999997</v>
      </c>
      <c r="C103" s="120">
        <v>3.7780999999999998</v>
      </c>
      <c r="D103" s="120">
        <v>10.504200000000001</v>
      </c>
      <c r="E103" s="120">
        <v>11.321</v>
      </c>
      <c r="F103" s="120">
        <v>18.250499999999999</v>
      </c>
    </row>
    <row r="104" spans="1:6">
      <c r="A104">
        <v>25</v>
      </c>
      <c r="B104" s="120">
        <v>5.0411999999999999</v>
      </c>
      <c r="C104" s="120">
        <v>3.7673000000000001</v>
      </c>
      <c r="D104" s="120">
        <v>10.503</v>
      </c>
      <c r="E104" s="120">
        <v>11.320600000000001</v>
      </c>
      <c r="F104" s="120">
        <v>18.2531</v>
      </c>
    </row>
    <row r="105" spans="1:6">
      <c r="A105">
        <v>26</v>
      </c>
      <c r="B105" s="120">
        <v>5.0362999999999998</v>
      </c>
      <c r="C105" s="120">
        <v>3.7544</v>
      </c>
      <c r="D105" s="120">
        <v>10.501099999999999</v>
      </c>
      <c r="E105" s="120">
        <v>11.3195</v>
      </c>
      <c r="F105" s="120">
        <v>18.255500000000001</v>
      </c>
    </row>
    <row r="106" spans="1:6">
      <c r="A106">
        <v>27</v>
      </c>
      <c r="B106" s="120">
        <v>5.0303000000000004</v>
      </c>
      <c r="C106" s="120">
        <v>3.7389999999999999</v>
      </c>
      <c r="D106" s="120">
        <v>10.4984</v>
      </c>
      <c r="E106" s="120">
        <v>11.317500000000001</v>
      </c>
      <c r="F106" s="120">
        <v>18.257300000000001</v>
      </c>
    </row>
    <row r="107" spans="1:6">
      <c r="A107">
        <v>28</v>
      </c>
      <c r="B107" s="120">
        <v>5.0229999999999997</v>
      </c>
      <c r="C107" s="120">
        <v>3.7206999999999999</v>
      </c>
      <c r="D107" s="120">
        <v>10.4947</v>
      </c>
      <c r="E107" s="120">
        <v>11.314399999999999</v>
      </c>
      <c r="F107" s="120">
        <v>18.258600000000001</v>
      </c>
    </row>
    <row r="108" spans="1:6">
      <c r="A108">
        <v>29</v>
      </c>
      <c r="B108" s="120">
        <v>5.0143000000000004</v>
      </c>
      <c r="C108" s="120">
        <v>3.6989999999999998</v>
      </c>
      <c r="D108" s="120">
        <v>10.489800000000001</v>
      </c>
      <c r="E108" s="120">
        <v>11.309900000000001</v>
      </c>
      <c r="F108" s="120">
        <v>18.2592</v>
      </c>
    </row>
    <row r="109" spans="1:6">
      <c r="A109">
        <v>30</v>
      </c>
      <c r="B109" s="120">
        <v>5.0039999999999996</v>
      </c>
      <c r="C109" s="120">
        <v>3.6736</v>
      </c>
      <c r="D109" s="120">
        <v>10.483599999999999</v>
      </c>
      <c r="E109" s="120">
        <v>11.304</v>
      </c>
      <c r="F109" s="120">
        <v>18.259</v>
      </c>
    </row>
    <row r="110" spans="1:6">
      <c r="A110">
        <v>31</v>
      </c>
      <c r="B110" s="120">
        <v>4.9919000000000002</v>
      </c>
      <c r="C110" s="120">
        <v>3.6438999999999999</v>
      </c>
      <c r="D110" s="120">
        <v>10.4762</v>
      </c>
      <c r="E110" s="120">
        <v>11.2965</v>
      </c>
      <c r="F110" s="120">
        <v>18.257899999999999</v>
      </c>
    </row>
    <row r="111" spans="1:6">
      <c r="A111">
        <v>32</v>
      </c>
      <c r="B111" s="120">
        <v>4.9778000000000002</v>
      </c>
      <c r="C111" s="120">
        <v>3.6095000000000002</v>
      </c>
      <c r="D111" s="120">
        <v>10.4672</v>
      </c>
      <c r="E111" s="120">
        <v>11.287100000000001</v>
      </c>
      <c r="F111" s="120">
        <v>18.2559</v>
      </c>
    </row>
    <row r="112" spans="1:6">
      <c r="A112">
        <v>33</v>
      </c>
      <c r="B112" s="120">
        <v>4.9615</v>
      </c>
      <c r="C112" s="120">
        <v>3.57</v>
      </c>
      <c r="D112" s="120">
        <v>10.4567</v>
      </c>
      <c r="E112" s="120">
        <v>11.2758</v>
      </c>
      <c r="F112" s="120">
        <v>18.252700000000001</v>
      </c>
    </row>
    <row r="113" spans="1:6">
      <c r="A113">
        <v>34</v>
      </c>
      <c r="B113" s="120">
        <v>4.9424999999999999</v>
      </c>
      <c r="C113" s="120">
        <v>3.5247999999999999</v>
      </c>
      <c r="D113" s="120">
        <v>10.4444</v>
      </c>
      <c r="E113" s="120">
        <v>11.2621</v>
      </c>
      <c r="F113" s="120">
        <v>18.248100000000001</v>
      </c>
    </row>
    <row r="114" spans="1:6">
      <c r="A114">
        <v>35</v>
      </c>
      <c r="B114" s="120">
        <v>4.9206000000000003</v>
      </c>
      <c r="C114" s="120">
        <v>3.4738000000000002</v>
      </c>
      <c r="D114" s="120">
        <v>10.430199999999999</v>
      </c>
      <c r="E114" s="120">
        <v>11.245900000000001</v>
      </c>
      <c r="F114" s="120">
        <v>18.242000000000001</v>
      </c>
    </row>
    <row r="115" spans="1:6">
      <c r="A115">
        <v>36</v>
      </c>
      <c r="B115" s="120">
        <v>4.8954000000000004</v>
      </c>
      <c r="C115" s="120">
        <v>3.4165000000000001</v>
      </c>
      <c r="D115" s="120">
        <v>10.4137</v>
      </c>
      <c r="E115" s="120">
        <v>11.226699999999999</v>
      </c>
      <c r="F115" s="120">
        <v>18.233899999999998</v>
      </c>
    </row>
    <row r="116" spans="1:6">
      <c r="A116">
        <v>37</v>
      </c>
      <c r="B116" s="120">
        <v>4.8666</v>
      </c>
      <c r="C116" s="120">
        <v>3.3525999999999998</v>
      </c>
      <c r="D116" s="120">
        <v>10.3948</v>
      </c>
      <c r="E116" s="120">
        <v>11.2043</v>
      </c>
      <c r="F116" s="120">
        <v>18.223400000000002</v>
      </c>
    </row>
    <row r="117" spans="1:6">
      <c r="A117">
        <v>38</v>
      </c>
      <c r="B117" s="120">
        <v>4.8335999999999997</v>
      </c>
      <c r="C117" s="120">
        <v>3.2818999999999998</v>
      </c>
      <c r="D117" s="120">
        <v>10.373100000000001</v>
      </c>
      <c r="E117" s="120">
        <v>11.178000000000001</v>
      </c>
      <c r="F117" s="120">
        <v>18.210100000000001</v>
      </c>
    </row>
    <row r="118" spans="1:6">
      <c r="A118">
        <v>39</v>
      </c>
      <c r="B118" s="120">
        <v>4.7961999999999998</v>
      </c>
      <c r="C118" s="120">
        <v>3.2039</v>
      </c>
      <c r="D118" s="120">
        <v>10.348100000000001</v>
      </c>
      <c r="E118" s="120">
        <v>11.147600000000001</v>
      </c>
      <c r="F118" s="120">
        <v>18.1934</v>
      </c>
    </row>
    <row r="119" spans="1:6">
      <c r="A119">
        <v>40</v>
      </c>
      <c r="B119" s="120">
        <v>4.7539999999999996</v>
      </c>
      <c r="C119" s="120">
        <v>3.1181999999999999</v>
      </c>
      <c r="D119" s="120">
        <v>10.3192</v>
      </c>
      <c r="E119" s="120">
        <v>11.112</v>
      </c>
      <c r="F119" s="120">
        <v>18.172699999999999</v>
      </c>
    </row>
    <row r="120" spans="1:6">
      <c r="A120">
        <v>41</v>
      </c>
      <c r="B120" s="120">
        <v>4.7066999999999997</v>
      </c>
      <c r="C120" s="120">
        <v>3.0243000000000002</v>
      </c>
      <c r="D120" s="120">
        <v>10.2859</v>
      </c>
      <c r="E120" s="120">
        <v>11.070399999999999</v>
      </c>
      <c r="F120" s="120">
        <v>18.146999999999998</v>
      </c>
    </row>
    <row r="121" spans="1:6">
      <c r="A121">
        <v>42</v>
      </c>
      <c r="B121" s="120">
        <v>4.6536999999999997</v>
      </c>
      <c r="C121" s="120">
        <v>2.9213</v>
      </c>
      <c r="D121" s="120">
        <v>10.247199999999999</v>
      </c>
      <c r="E121" s="120">
        <v>11.021699999999999</v>
      </c>
      <c r="F121" s="120">
        <v>18.115400000000001</v>
      </c>
    </row>
    <row r="122" spans="1:6">
      <c r="A122">
        <v>43</v>
      </c>
      <c r="B122" s="120">
        <v>4.5949</v>
      </c>
      <c r="C122" s="120">
        <v>2.8083</v>
      </c>
      <c r="D122" s="120">
        <v>10.202400000000001</v>
      </c>
      <c r="E122" s="120">
        <v>10.9641</v>
      </c>
      <c r="F122" s="120">
        <v>18.076799999999999</v>
      </c>
    </row>
    <row r="123" spans="1:6">
      <c r="A123">
        <v>44</v>
      </c>
      <c r="B123" s="120">
        <v>4.5297999999999998</v>
      </c>
      <c r="C123" s="120">
        <v>2.6840000000000002</v>
      </c>
      <c r="D123" s="120">
        <v>10.150399999999999</v>
      </c>
      <c r="E123" s="120">
        <v>10.8964</v>
      </c>
      <c r="F123" s="120">
        <v>18.030100000000001</v>
      </c>
    </row>
    <row r="124" spans="1:6">
      <c r="A124">
        <v>45</v>
      </c>
      <c r="B124" s="120">
        <v>4.4577999999999998</v>
      </c>
      <c r="C124" s="120">
        <v>2.5470999999999999</v>
      </c>
      <c r="D124" s="120">
        <v>10.090199999999999</v>
      </c>
      <c r="E124" s="120">
        <v>10.817</v>
      </c>
      <c r="F124" s="120">
        <v>17.9741</v>
      </c>
    </row>
    <row r="125" spans="1:6">
      <c r="A125">
        <v>46</v>
      </c>
      <c r="B125" s="120">
        <v>4.3787000000000003</v>
      </c>
      <c r="C125" s="120">
        <v>2.3959999999999999</v>
      </c>
      <c r="D125" s="120">
        <v>10.020799999999999</v>
      </c>
      <c r="E125" s="120">
        <v>10.724399999999999</v>
      </c>
      <c r="F125" s="120">
        <v>17.908000000000001</v>
      </c>
    </row>
    <row r="126" spans="1:6">
      <c r="A126">
        <v>47</v>
      </c>
      <c r="B126" s="120">
        <v>4.2919999999999998</v>
      </c>
      <c r="C126" s="120">
        <v>2.2286999999999999</v>
      </c>
      <c r="D126" s="120">
        <v>9.9413</v>
      </c>
      <c r="E126" s="120">
        <v>10.6153</v>
      </c>
      <c r="F126" s="120">
        <v>17.8307</v>
      </c>
    </row>
    <row r="127" spans="1:6">
      <c r="A127">
        <v>48</v>
      </c>
      <c r="B127" s="120">
        <v>4.1970999999999998</v>
      </c>
      <c r="C127" s="120">
        <v>2.0434999999999999</v>
      </c>
      <c r="D127" s="120">
        <v>9.8511000000000006</v>
      </c>
      <c r="E127" s="120">
        <v>10.489000000000001</v>
      </c>
      <c r="F127" s="120">
        <v>17.741700000000002</v>
      </c>
    </row>
    <row r="128" spans="1:6">
      <c r="A128">
        <v>49</v>
      </c>
      <c r="B128" s="120">
        <v>4.0938999999999997</v>
      </c>
      <c r="C128" s="120">
        <v>1.8383</v>
      </c>
      <c r="D128" s="120">
        <v>9.7497000000000007</v>
      </c>
      <c r="E128" s="120">
        <v>10.343999999999999</v>
      </c>
      <c r="F128" s="120">
        <v>17.639900000000001</v>
      </c>
    </row>
    <row r="129" spans="1:6">
      <c r="A129">
        <v>50</v>
      </c>
      <c r="B129" s="120">
        <v>3.9817999999999998</v>
      </c>
      <c r="C129" s="120">
        <v>1.6109</v>
      </c>
      <c r="D129" s="120">
        <v>9.6365999999999996</v>
      </c>
      <c r="E129" s="120">
        <v>10.1791</v>
      </c>
      <c r="F129" s="120">
        <v>17.526499999999999</v>
      </c>
    </row>
    <row r="130" spans="1:6">
      <c r="A130">
        <v>51</v>
      </c>
      <c r="B130" s="120"/>
      <c r="C130" s="120"/>
      <c r="D130" s="120">
        <v>9.5119000000000007</v>
      </c>
      <c r="E130" s="120">
        <v>9.9929000000000006</v>
      </c>
      <c r="F130" s="120">
        <v>17.401700000000002</v>
      </c>
    </row>
    <row r="131" spans="1:6">
      <c r="A131">
        <v>52</v>
      </c>
      <c r="B131" s="120"/>
      <c r="C131" s="120"/>
      <c r="D131" s="120">
        <v>9.3752999999999993</v>
      </c>
      <c r="E131" s="120">
        <v>9.7837999999999994</v>
      </c>
      <c r="F131" s="120">
        <v>17.266200000000001</v>
      </c>
    </row>
    <row r="132" spans="1:6">
      <c r="A132">
        <v>53</v>
      </c>
      <c r="B132" s="120"/>
      <c r="C132" s="120"/>
      <c r="D132" s="120">
        <v>9.2264999999999997</v>
      </c>
      <c r="E132" s="120">
        <v>9.5495999999999999</v>
      </c>
      <c r="F132" s="120">
        <v>17.1203</v>
      </c>
    </row>
    <row r="133" spans="1:6">
      <c r="A133">
        <v>54</v>
      </c>
      <c r="B133" s="120"/>
      <c r="C133" s="120"/>
      <c r="D133" s="120">
        <v>9.0648</v>
      </c>
      <c r="E133" s="120">
        <v>9.2870000000000008</v>
      </c>
      <c r="F133" s="120">
        <v>16.963899999999999</v>
      </c>
    </row>
    <row r="134" spans="1:6">
      <c r="A134">
        <v>55</v>
      </c>
      <c r="B134" s="120"/>
      <c r="C134" s="120"/>
      <c r="D134" s="120">
        <v>8.8887</v>
      </c>
      <c r="E134" s="120">
        <v>8.9911999999999992</v>
      </c>
      <c r="F134" s="120">
        <v>16.7959</v>
      </c>
    </row>
    <row r="135" spans="1:6">
      <c r="A135">
        <v>56</v>
      </c>
      <c r="B135" s="120"/>
      <c r="C135" s="120"/>
      <c r="D135" s="120"/>
      <c r="E135" s="120"/>
      <c r="F135" s="120">
        <v>16.6099</v>
      </c>
    </row>
    <row r="136" spans="1:6">
      <c r="A136">
        <v>57</v>
      </c>
      <c r="B136" s="120"/>
      <c r="C136" s="120"/>
      <c r="D136" s="120"/>
      <c r="E136" s="120"/>
      <c r="F136" s="120">
        <v>16.397200000000002</v>
      </c>
    </row>
    <row r="137" spans="1:6">
      <c r="A137">
        <v>58</v>
      </c>
      <c r="B137" s="120"/>
      <c r="C137" s="120"/>
      <c r="D137" s="120"/>
      <c r="E137" s="120"/>
      <c r="F137" s="120">
        <v>16.146799999999999</v>
      </c>
    </row>
    <row r="138" spans="1:6">
      <c r="A138">
        <v>59</v>
      </c>
      <c r="B138" s="120"/>
      <c r="C138" s="120"/>
      <c r="D138" s="120"/>
      <c r="E138" s="120"/>
      <c r="F138" s="120">
        <v>15.854900000000001</v>
      </c>
    </row>
    <row r="139" spans="1:6">
      <c r="A139">
        <v>60</v>
      </c>
      <c r="B139" s="120"/>
      <c r="C139" s="120"/>
      <c r="D139" s="120"/>
      <c r="E139" s="120"/>
      <c r="F139" s="120">
        <v>15.501899999999999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vt:i4>
      </vt:variant>
    </vt:vector>
  </HeadingPairs>
  <TitlesOfParts>
    <vt:vector size="17" baseType="lpstr">
      <vt:lpstr>Input</vt:lpstr>
      <vt:lpstr>Output</vt:lpstr>
      <vt:lpstr>SF</vt:lpstr>
      <vt:lpstr>MB</vt:lpstr>
      <vt:lpstr>GI</vt:lpstr>
      <vt:lpstr>iAGE</vt:lpstr>
      <vt:lpstr>iBP</vt:lpstr>
      <vt:lpstr>In_GI</vt:lpstr>
      <vt:lpstr>In_St_Yr</vt:lpstr>
      <vt:lpstr>Income_End</vt:lpstr>
      <vt:lpstr>Income_Int</vt:lpstr>
      <vt:lpstr>Income_ST</vt:lpstr>
      <vt:lpstr>IP</vt:lpstr>
      <vt:lpstr>iPRM</vt:lpstr>
      <vt:lpstr>iPRM_PP</vt:lpstr>
      <vt:lpstr>MB</vt:lpstr>
      <vt:lpstr>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Apeksha Momaya</dc:creator>
  <cp:lastModifiedBy>Apeksha Momaya</cp:lastModifiedBy>
  <dcterms:created xsi:type="dcterms:W3CDTF">2015-06-05T18:17:20Z</dcterms:created>
  <dcterms:modified xsi:type="dcterms:W3CDTF">2025-09-08T11:04:19Z</dcterms:modified>
</cp:coreProperties>
</file>